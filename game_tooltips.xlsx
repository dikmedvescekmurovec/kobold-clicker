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About" sheetId="1" state="visible" r:id="rId3"/>
    <sheet name="Tooltips" sheetId="2" state="visible" r:id="rId4"/>
    <sheet name="Developer only" sheetId="3" state="visible" r:id="rId5"/>
    <sheet name="Patterns" sheetId="4" state="visible" r:id="rId6"/>
  </sheets>
  <definedNames>
    <definedName function="false" hidden="true" localSheetId="1" name="_xlnm._FilterDatabase" vbProcedure="false">Tooltips!$A$1:$P$217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<sst xmlns="http://schemas.openxmlformats.org/spreadsheetml/2006/main" count="2282" uniqueCount="1102">
  <si>
    <t xml:space="preserve">Kobold Clicker: every tooltip, rated</t>
  </si>
  <si>
    <t xml:space="preserve">Exported</t>
  </si>
  <si>
    <t xml:space="preserve">2026-10-10, from the working tree (branch dialogue-voices). Second pass: only a tooltip the player needs is kept.</t>
  </si>
  <si>
    <t xml:space="preserve">Sheets</t>
  </si>
  <si>
    <t xml:space="preserve">Tooltips</t>
  </si>
  <si>
    <t xml:space="preserve">Every tooltip a player can meet, one row each, with two ratings, a verdict and, for a kept one that reads badly, a rewrite. Filter by Area, Kind or Verdict.</t>
  </si>
  <si>
    <t xml:space="preserve">Developer only</t>
  </si>
  <si>
    <t xml:space="preserve">The tooltips of the developer screens, which a release build does not have. Listed, not rated.</t>
  </si>
  <si>
    <t xml:space="preserve">Patterns</t>
  </si>
  <si>
    <t xml:space="preserve">The rule the verdicts follow, what the cuts are made of, and what to watch for when cutting.</t>
  </si>
  <si>
    <t xml:space="preserve">Counts</t>
  </si>
  <si>
    <t xml:space="preserve">Rows</t>
  </si>
  <si>
    <t xml:space="preserve">Keep</t>
  </si>
  <si>
    <t xml:space="preserve">Reword (kept, with new words)</t>
  </si>
  <si>
    <t xml:space="preserve">Cut</t>
  </si>
  <si>
    <t xml:space="preserve">Share of tooltips the game needs</t>
  </si>
  <si>
    <t xml:space="preserve">Needed, and explains poorly (Explains 1-3)</t>
  </si>
  <si>
    <t xml:space="preserve">Average: Explains</t>
  </si>
  <si>
    <t xml:space="preserve">Average: Needed</t>
  </si>
  <si>
    <t xml:space="preserve">On a control that cannot show it (Kind = Never shown)</t>
  </si>
  <si>
    <t xml:space="preserve">The rule for keeping</t>
  </si>
  <si>
    <t xml:space="preserve">A tooltip is kept only if the player needs it and the screen cannot say it. Needed 4 or 5 is kept, 3 or under is cut.</t>
  </si>
  <si>
    <t xml:space="preserve">Needed (1-5)</t>
  </si>
  <si>
    <t xml:space="preserve">How much the player would lose without it.</t>
  </si>
  <si>
    <t xml:space="preserve">5</t>
  </si>
  <si>
    <t xml:space="preserve">A rule, a cost or a consequence the player needs before the press, said nowhere else. Or the only explanation of a thing.</t>
  </si>
  <si>
    <t xml:space="preserve">4</t>
  </si>
  <si>
    <t xml:space="preserve">The only words for a control whose picture does not say what it does, or the only reason for a dead button whose cause is not on screen.</t>
  </si>
  <si>
    <t xml:space="preserve">3</t>
  </si>
  <si>
    <t xml:space="preserve">The player finds out by pressing, at no cost, or by reading the screen with a little thought.</t>
  </si>
  <si>
    <t xml:space="preserve">2</t>
  </si>
  <si>
    <t xml:space="preserve">The screen already says it: the button's own words, a heading, a price, the question after the press.</t>
  </si>
  <si>
    <t xml:space="preserve">1</t>
  </si>
  <si>
    <t xml:space="preserve">Repeats the control word for word, or can never be seen.</t>
  </si>
  <si>
    <t xml:space="preserve">Explains (1-5)</t>
  </si>
  <si>
    <t xml:space="preserve">How well the words explain the thing they are on.</t>
  </si>
  <si>
    <t xml:space="preserve">Says exactly what the press or the thing does, in plain words.</t>
  </si>
  <si>
    <t xml:space="preserve">Clear, with a small wobble: an odd word, a missing detail.</t>
  </si>
  <si>
    <t xml:space="preserve">Understood on a second read, or leaves out something the player needs.</t>
  </si>
  <si>
    <t xml:space="preserve">Likely to be misread, or leans on a word the game has not explained.</t>
  </si>
  <si>
    <t xml:space="preserve">Does not explain, or says something untrue.</t>
  </si>
  <si>
    <t xml:space="preserve">Verdict</t>
  </si>
  <si>
    <t xml:space="preserve">Needed, and it does its job.</t>
  </si>
  <si>
    <t xml:space="preserve">Reword</t>
  </si>
  <si>
    <t xml:space="preserve">Needed, and the wording gets in its way. A rewrite is offered.</t>
  </si>
  <si>
    <t xml:space="preserve">Not needed. The Why column says what already tells the player.</t>
  </si>
  <si>
    <t xml:space="preserve">How to read a row</t>
  </si>
  <si>
    <t xml:space="preserve">Kind</t>
  </si>
  <si>
    <t xml:space="preserve">Tooltip: the cream tip card that comes up after half a second on a control. Tooltip: why a button is grey: the same card, on a dead button. Hover card: the sentence on an orb's, rune's or super orb's card. Never shown: text set as a tooltip that no card can show.</t>
  </si>
  <si>
    <t xml:space="preserve">Text</t>
  </si>
  <si>
    <t xml:space="preserve">As it is in the source. %d, %s and %.1f stand for a number or a name filled in as the game runs, and %% is a percent sign.</t>
  </si>
  <si>
    <t xml:space="preserve">Example, as shown</t>
  </si>
  <si>
    <t xml:space="preserve">The text with made-up numbers and names filled in, to show how it reads. The figures are not the game's.</t>
  </si>
  <si>
    <t xml:space="preserve">Suggested rewrite</t>
  </si>
  <si>
    <t xml:space="preserve">Only for a Reword. A proposal that keeps the rule as the code has it. Check the facts before using one.</t>
  </si>
  <si>
    <t xml:space="preserve">Read by</t>
  </si>
  <si>
    <t xml:space="preserve">What else in the project reads the text: code that builds on it, and tests that find a button by it or check its words. A cut or a rewrite has to be followed there.</t>
  </si>
  <si>
    <t xml:space="preserve">Line</t>
  </si>
  <si>
    <t xml:space="preserve">Where the text sits in the file. Several numbers mean it is written there more than once.</t>
  </si>
  <si>
    <t xml:space="preserve">What is in</t>
  </si>
  <si>
    <t xml:space="preserve">Every tooltip_text set under Scenes/, read off the source and each traced to the control it lands on, and the sentence on each orb, rune and super orb card, since that is the same job done by a different card.</t>
  </si>
  <si>
    <t xml:space="preserve">What is out</t>
  </si>
  <si>
    <t xml:space="preserve">The item card, a skill node's card, an achievement's and a unique's card in the two logs: they are whole descriptions built from an item, not a line of help. Buttons with no tooltip. Reasons the code writes but nothing shows (why an orb or a rune is grey, why a skill point is refused).</t>
  </si>
  <si>
    <t xml:space="preserve">How 'Never shown' was checked</t>
  </si>
  <si>
    <t xml:space="preserve">A scratch scene put each kind of control under a real mouse pointer and asked the tip card's own function what it would say. An item square, a bounty's promised piece and a bought shelf square all came back empty.</t>
  </si>
  <si>
    <t xml:space="preserve">The judgement</t>
  </si>
  <si>
    <t xml:space="preserve">A reviewer's reading, not a measurement. The ratings are for sorting, and the Why column is the argument.</t>
  </si>
  <si>
    <t xml:space="preserve">#</t>
  </si>
  <si>
    <t xml:space="preserve">Area</t>
  </si>
  <si>
    <t xml:space="preserve">Where it shows</t>
  </si>
  <si>
    <t xml:space="preserve">On</t>
  </si>
  <si>
    <t xml:space="preserve">Length</t>
  </si>
  <si>
    <t xml:space="preserve">Why</t>
  </si>
  <si>
    <t xml:space="preserve">File</t>
  </si>
  <si>
    <t xml:space="preserve">Map and main screen</t>
  </si>
  <si>
    <t xml:space="preserve">Corner buttons</t>
  </si>
  <si>
    <t xml:space="preserve">Star button (icon only), key K</t>
  </si>
  <si>
    <t xml:space="preserve">Tooltip</t>
  </si>
  <si>
    <t xml:space="preserve">Skill tree</t>
  </si>
  <si>
    <t xml:space="preserve">A star does not say skill tree. Of the corner's nine, one of the four whose picture needs the word.</t>
  </si>
  <si>
    <t xml:space="preserve">Scenes/main_scene.gd</t>
  </si>
  <si>
    <t xml:space="preserve">970</t>
  </si>
  <si>
    <t xml:space="preserve">Scenes/main_scene.gd:1047 (the Controls screen's list)</t>
  </si>
  <si>
    <t xml:space="preserve">Chest button (icon only), key I</t>
  </si>
  <si>
    <t xml:space="preserve">Items</t>
  </si>
  <si>
    <t xml:space="preserve">A chest reads as the bag, and one press shows it. Two things to know before cutting: the card also shows the page's key, and the Controls screen builds its list from this text, so the word stays in the code either way.</t>
  </si>
  <si>
    <t xml:space="preserve">973</t>
  </si>
  <si>
    <t xml:space="preserve">Scroll button (icon only), key J</t>
  </si>
  <si>
    <t xml:space="preserve">Bounties</t>
  </si>
  <si>
    <t xml:space="preserve">A scroll could be many things. The name settles it.</t>
  </si>
  <si>
    <t xml:space="preserve">976</t>
  </si>
  <si>
    <t xml:space="preserve">Cog button (icon only), key O</t>
  </si>
  <si>
    <t xml:space="preserve">Settings</t>
  </si>
  <si>
    <t xml:space="preserve">A cog is understood everywhere. Two things to know before cutting: the card also shows the page's key, and the Controls screen builds its list from this text, so the word stays in the code either way.</t>
  </si>
  <si>
    <t xml:space="preserve">979</t>
  </si>
  <si>
    <t xml:space="preserve">Book button (icon only), key L</t>
  </si>
  <si>
    <t xml:space="preserve">Collection</t>
  </si>
  <si>
    <t xml:space="preserve">A book does not say what is collected. The name at least says a collection.</t>
  </si>
  <si>
    <t xml:space="preserve">982</t>
  </si>
  <si>
    <t xml:space="preserve">Trophy button (icon only), key Y</t>
  </si>
  <si>
    <t xml:space="preserve">Achievements</t>
  </si>
  <si>
    <t xml:space="preserve">A trophy says it. Two things to know before cutting: the card also shows the page's key, and the Controls screen builds its list from this text, so the word stays in the code either way.</t>
  </si>
  <si>
    <t xml:space="preserve">985</t>
  </si>
  <si>
    <t xml:space="preserve">Podium button (icon only), key P</t>
  </si>
  <si>
    <t xml:space="preserve">Leaderboard</t>
  </si>
  <si>
    <t xml:space="preserve">A podium says it, and one press shows it. Two things to know before cutting: the card also shows the page's key, and the Controls screen builds its list from this text, so the word stays in the code either way.</t>
  </si>
  <si>
    <t xml:space="preserve">988</t>
  </si>
  <si>
    <t xml:space="preserve">Crown button (icon only), key H</t>
  </si>
  <si>
    <t xml:space="preserve">Heirlooms</t>
  </si>
  <si>
    <t xml:space="preserve">A crown does not say heirloom.</t>
  </si>
  <si>
    <t xml:space="preserve">991</t>
  </si>
  <si>
    <t xml:space="preserve">Corner panel</t>
  </si>
  <si>
    <t xml:space="preserve">The hero's portrait panel, key C</t>
  </si>
  <si>
    <t xml:space="preserve">Character</t>
  </si>
  <si>
    <t xml:space="preserve">The panel lights under the mouse and one press shows what it opens. Two things to know before cutting: the card also shows the page's key, and the Controls screen builds its list from this text, so the word stays in the code either way.</t>
  </si>
  <si>
    <t xml:space="preserve">1009</t>
  </si>
  <si>
    <t xml:space="preserve">Experience bar</t>
  </si>
  <si>
    <t xml:space="preserve">%s / %s XP</t>
  </si>
  <si>
    <t xml:space="preserve">120 / 450 XP</t>
  </si>
  <si>
    <t xml:space="preserve">The character page, one press away, writes the same line under its own bar.</t>
  </si>
  <si>
    <t xml:space="preserve">Scenes/UI/character_panel.gd</t>
  </si>
  <si>
    <t xml:space="preserve">290</t>
  </si>
  <si>
    <t xml:space="preserve">tests/test_ui_theme.gd:759</t>
  </si>
  <si>
    <t xml:space="preserve">Map edge</t>
  </si>
  <si>
    <t xml:space="preserve">The hero's badge (portrait and arrow)</t>
  </si>
  <si>
    <t xml:space="preserve">Find the hero</t>
  </si>
  <si>
    <t xml:space="preserve">The hero's face with an arrow, pressed at no cost. It shows what it does.</t>
  </si>
  <si>
    <t xml:space="preserve">790</t>
  </si>
  <si>
    <t xml:space="preserve">Map foot, while walking</t>
  </si>
  <si>
    <t xml:space="preserve">Stop button</t>
  </si>
  <si>
    <t xml:space="preserve">Stop on the next tile</t>
  </si>
  <si>
    <t xml:space="preserve">The word is on the button, and the hero is seen to stop a tile on.</t>
  </si>
  <si>
    <t xml:space="preserve">793</t>
  </si>
  <si>
    <t xml:space="preserve">Tile panel</t>
  </si>
  <si>
    <t xml:space="preserve">X on the title bar</t>
  </si>
  <si>
    <t xml:space="preserve">Close and deselect the tile</t>
  </si>
  <si>
    <t xml:space="preserve">An X is an X.</t>
  </si>
  <si>
    <t xml:space="preserve">800</t>
  </si>
  <si>
    <t xml:space="preserve">Chart button</t>
  </si>
  <si>
    <t xml:space="preserve">Fight for this tile and what lies behind it</t>
  </si>
  <si>
    <t xml:space="preserve">Chart is the game's own verb and this is the only place it is defined. 'What lies behind it' is the vague part: winning lifts the fog off the tile and the land in sight of it.</t>
  </si>
  <si>
    <t xml:space="preserve">Fight for this tile. Win, and it and the land around it come out of the fog</t>
  </si>
  <si>
    <t xml:space="preserve">1955</t>
  </si>
  <si>
    <t xml:space="preserve">Farm button</t>
  </si>
  <si>
    <t xml:space="preserve">Fight here for as long as you like, for the loot</t>
  </si>
  <si>
    <t xml:space="preserve">The only statement that this fight has no end and wins no land, only loot.</t>
  </si>
  <si>
    <t xml:space="preserve">1956</t>
  </si>
  <si>
    <t xml:space="preserve">Chart and Farm, greyed</t>
  </si>
  <si>
    <t xml:space="preserve">Tooltip: why a button is grey</t>
  </si>
  <si>
    <t xml:space="preserve">Your bag is too heavy to fight with. Sell or discard gear until it holds %d or fewer</t>
  </si>
  <si>
    <t xml:space="preserve">Your bag is too heavy to fight with. Sell or discard gear until it holds 40 or fewer</t>
  </si>
  <si>
    <t xml:space="preserve">The only place the reason and the limit are said, and it says how to fix it. Two wobbles: nothing else in the game weighs anything (elsewhere the bag is 'full'), and 'or fewer' has no noun.</t>
  </si>
  <si>
    <t xml:space="preserve">Your bag is over its limit. Sell or discard gear until it holds %d items or fewer</t>
  </si>
  <si>
    <t xml:space="preserve">1959</t>
  </si>
  <si>
    <t xml:space="preserve">tests/test_inventory_saving.gd:830</t>
  </si>
  <si>
    <t xml:space="preserve">Move here button</t>
  </si>
  <si>
    <t xml:space="preserve">Walk to the selected tile</t>
  </si>
  <si>
    <t xml:space="preserve">Says what the button's own words say.</t>
  </si>
  <si>
    <t xml:space="preserve">852</t>
  </si>
  <si>
    <t xml:space="preserve">Enter town button</t>
  </si>
  <si>
    <t xml:space="preserve">Go inside and see what is traded here</t>
  </si>
  <si>
    <t xml:space="preserve">Repeats the button. The services are listed in the panel above it.</t>
  </si>
  <si>
    <t xml:space="preserve">866</t>
  </si>
  <si>
    <t xml:space="preserve">Tile panel, on the cave</t>
  </si>
  <si>
    <t xml:space="preserve">Enter cave button</t>
  </si>
  <si>
    <t xml:space="preserve">Go down to depth %d. Kill Gollux to go deeper: each depth won is a skull for your curses</t>
  </si>
  <si>
    <t xml:space="preserve">Go down to depth 3. Kill Gollux to go deeper: each depth won is a skull for your curses</t>
  </si>
  <si>
    <t xml:space="preserve">Carries the whole rule of the cave, and nothing else on the panel does. The last part is hard: 'a skull for your curses' only means something to a player who has already seen the curse table.</t>
  </si>
  <si>
    <t xml:space="preserve">Go down to depth %d. Kill Gollux to win the depth. Each depth won gives one more skull to spend on curses</t>
  </si>
  <si>
    <t xml:space="preserve">2438</t>
  </si>
  <si>
    <t xml:space="preserve">tests/test_combat_curses.gd:613, 654</t>
  </si>
  <si>
    <t xml:space="preserve">Ice wall's tile panel: Unlocks</t>
  </si>
  <si>
    <t xml:space="preserve">An orb's row (walls 1 and 2)</t>
  </si>
  <si>
    <t xml:space="preserve">(the orb's own description, as on its card)</t>
  </si>
  <si>
    <t xml:space="preserve">A teaser on the wall's panel for a thing that explains itself when it is met. The orb's card says this the moment one drops.</t>
  </si>
  <si>
    <t xml:space="preserve">Scenes/Items/wall_unlocks.gd</t>
  </si>
  <si>
    <t xml:space="preserve">59</t>
  </si>
  <si>
    <t xml:space="preserve">Gollux row (wall 3)</t>
  </si>
  <si>
    <t xml:space="preserve">His cave appears in every world</t>
  </si>
  <si>
    <t xml:space="preserve">A teaser on the wall's panel for a thing that explains itself when it is met. The red light, the hero's line and Enter cave teach Gollux. The bare name does the teasing better.</t>
  </si>
  <si>
    <t xml:space="preserve">28</t>
  </si>
  <si>
    <t xml:space="preserve">Runes row (wall 3)</t>
  </si>
  <si>
    <t xml:space="preserve">Dropped in Gollux's cave, they give a charted tile modifiers</t>
  </si>
  <si>
    <t xml:space="preserve">A teaser on the wall's panel for a thing that explains itself when it is met. The first rune drops in the cave with a card of its own.</t>
  </si>
  <si>
    <t xml:space="preserve">30</t>
  </si>
  <si>
    <t xml:space="preserve">Distant charting row (wall 4)</t>
  </si>
  <si>
    <t xml:space="preserve">Chart any tile you can see, fighting for every tile on the way</t>
  </si>
  <si>
    <t xml:space="preserve">Nothing in the world announces this unlock, so this line is its only explanation. The whole rule, cost included.</t>
  </si>
  <si>
    <t xml:space="preserve">32</t>
  </si>
  <si>
    <t xml:space="preserve">Item filter row (wall 6)</t>
  </si>
  <si>
    <t xml:space="preserve">Leave behind the loot you do not want</t>
  </si>
  <si>
    <t xml:space="preserve">Nothing in the world announces this unlock. It says what the filter does and not where it is, and nothing points to Settings.</t>
  </si>
  <si>
    <t xml:space="preserve">Leave behind the loot you do not want. Set it in Settings</t>
  </si>
  <si>
    <t xml:space="preserve">34</t>
  </si>
  <si>
    <t xml:space="preserve">Abilities row (wall 7)</t>
  </si>
  <si>
    <t xml:space="preserve">Skill nodes that put a button in the fight</t>
  </si>
  <si>
    <t xml:space="preserve">A teaser on the wall's panel for a thing that explains itself when it is met. It is also for something not built: nothing in the code uses the Abilities unlock yet.</t>
  </si>
  <si>
    <t xml:space="preserve">36</t>
  </si>
  <si>
    <t xml:space="preserve">Skill branch row (walls 3, 5, 8 and on)</t>
  </si>
  <si>
    <t xml:space="preserve">The skill tree's root takes %d more node%s</t>
  </si>
  <si>
    <t xml:space="preserve">The skill tree's root takes 1 more node</t>
  </si>
  <si>
    <t xml:space="preserve">Says the row's own name ('+1 skill branch') again, with a second word, node, for the same thing.</t>
  </si>
  <si>
    <t xml:space="preserve">66</t>
  </si>
  <si>
    <t xml:space="preserve">A cleared board's reward (pick 1 of 3)</t>
  </si>
  <si>
    <t xml:space="preserve">An orb among the three</t>
  </si>
  <si>
    <t xml:space="preserve">A choice that cannot be taken back, and only the orb's name is written under it.</t>
  </si>
  <si>
    <t xml:space="preserve">1555</t>
  </si>
  <si>
    <t xml:space="preserve">Take button</t>
  </si>
  <si>
    <t xml:space="preserve">Take this one</t>
  </si>
  <si>
    <t xml:space="preserve">1567</t>
  </si>
  <si>
    <t xml:space="preserve">Take button, greyed</t>
  </si>
  <si>
    <t xml:space="preserve">Nothing to take</t>
  </si>
  <si>
    <t xml:space="preserve">A safety answer the player cannot reach.</t>
  </si>
  <si>
    <t xml:space="preserve">Scenes/UI/town_page.gd</t>
  </si>
  <si>
    <t xml:space="preserve">820</t>
  </si>
  <si>
    <t xml:space="preserve">Bounty reward pop-up</t>
  </si>
  <si>
    <t xml:space="preserve">Collect button</t>
  </si>
  <si>
    <t xml:space="preserve">Put it all away</t>
  </si>
  <si>
    <t xml:space="preserve">1440</t>
  </si>
  <si>
    <t xml:space="preserve">Banners (achievement, new unique)</t>
  </si>
  <si>
    <t xml:space="preserve">X on the banner</t>
  </si>
  <si>
    <t xml:space="preserve">Close</t>
  </si>
  <si>
    <t xml:space="preserve">1357</t>
  </si>
  <si>
    <t xml:space="preserve">Save error panel</t>
  </si>
  <si>
    <t xml:space="preserve">Never shown</t>
  </si>
  <si>
    <t xml:space="preserve">Quit</t>
  </si>
  <si>
    <t xml:space="preserve">Never seen: the panel is built before the tip card exists. Nothing is lost, since there is no game behind the panel for the X to close onto.</t>
  </si>
  <si>
    <t xml:space="preserve">696</t>
  </si>
  <si>
    <t xml:space="preserve">Fights</t>
  </si>
  <si>
    <t xml:space="preserve">Fight screen, bottom right</t>
  </si>
  <si>
    <t xml:space="preserve">Sack button (icon and a count)</t>
  </si>
  <si>
    <t xml:space="preserve">What this run has turned up</t>
  </si>
  <si>
    <t xml:space="preserve">The count on its face says what it is, and a press opens a panel headed Loot.</t>
  </si>
  <si>
    <t xml:space="preserve">Scenes/Combat/combat_scene.gd</t>
  </si>
  <si>
    <t xml:space="preserve">930</t>
  </si>
  <si>
    <t xml:space="preserve">Fight screen, top right, farming</t>
  </si>
  <si>
    <t xml:space="preserve">Flag button (icon only)</t>
  </si>
  <si>
    <t xml:space="preserve">End the run and keep everything it turned up</t>
  </si>
  <si>
    <t xml:space="preserve">A bare flag whose press ends the run. It also takes away the fear of losing the loot.</t>
  </si>
  <si>
    <t xml:space="preserve">953</t>
  </si>
  <si>
    <t xml:space="preserve">Fight screen, top right, in the cave</t>
  </si>
  <si>
    <t xml:space="preserve">End the descent here</t>
  </si>
  <si>
    <t xml:space="preserve">A bare flag whose press ends the descent. Finding out by pressing costs the descent.</t>
  </si>
  <si>
    <t xml:space="preserve">954</t>
  </si>
  <si>
    <t xml:space="preserve">Fight screen, top right, charting</t>
  </si>
  <si>
    <t xml:space="preserve">Give up the fight and keep what it already turned up</t>
  </si>
  <si>
    <t xml:space="preserve">A bare flag whose press loses the fight. Finding out by pressing costs the tile.</t>
  </si>
  <si>
    <t xml:space="preserve">955</t>
  </si>
  <si>
    <t xml:space="preserve">Fight result, won</t>
  </si>
  <si>
    <t xml:space="preserve">Take it all back to the map</t>
  </si>
  <si>
    <t xml:space="preserve">Repeats the button, and is out of date: loot goes into the bag as it drops.</t>
  </si>
  <si>
    <t xml:space="preserve">1056</t>
  </si>
  <si>
    <t xml:space="preserve">Fight result, lost</t>
  </si>
  <si>
    <t xml:space="preserve">Back arrow (icon only)</t>
  </si>
  <si>
    <t xml:space="preserve">Back to the map</t>
  </si>
  <si>
    <t xml:space="preserve">The arrow says it, as you ruled for the banishing's arrow on 2026-10-10.</t>
  </si>
  <si>
    <t xml:space="preserve">1063</t>
  </si>
  <si>
    <t xml:space="preserve">Retry button</t>
  </si>
  <si>
    <t xml:space="preserve">Fight for this tile again</t>
  </si>
  <si>
    <t xml:space="preserve">1066</t>
  </si>
  <si>
    <t xml:space="preserve">Fight result, in the cave</t>
  </si>
  <si>
    <t xml:space="preserve">Leave button</t>
  </si>
  <si>
    <t xml:space="preserve">1869</t>
  </si>
  <si>
    <t xml:space="preserve">Loot panel, mid-fight</t>
  </si>
  <si>
    <t xml:space="preserve">Close button</t>
  </si>
  <si>
    <t xml:space="preserve">Back to the fight</t>
  </si>
  <si>
    <t xml:space="preserve">1090</t>
  </si>
  <si>
    <t xml:space="preserve">Loot list, a piece opened</t>
  </si>
  <si>
    <t xml:space="preserve">Back to what was found</t>
  </si>
  <si>
    <t xml:space="preserve">Scenes/Combat/drops_view.gd</t>
  </si>
  <si>
    <t xml:space="preserve">119</t>
  </si>
  <si>
    <t xml:space="preserve">Camp</t>
  </si>
  <si>
    <t xml:space="preserve">Camp report</t>
  </si>
  <si>
    <t xml:space="preserve">X on the title bar, and Break camp</t>
  </si>
  <si>
    <t xml:space="preserve">Go back to the map</t>
  </si>
  <si>
    <t xml:space="preserve">The X and Break camp are the only way on, and a press is the only thing to do.</t>
  </si>
  <si>
    <t xml:space="preserve">Scenes/Combat/camp_scene.gd</t>
  </si>
  <si>
    <t xml:space="preserve">62, 102</t>
  </si>
  <si>
    <t xml:space="preserve">Bag</t>
  </si>
  <si>
    <t xml:space="preserve">Filter tabs over the grid</t>
  </si>
  <si>
    <t xml:space="preserve">Tab (a 14 px mark, no word)</t>
  </si>
  <si>
    <t xml:space="preserve">All items</t>
  </si>
  <si>
    <t xml:space="preserve">The mark is the slot's own, and a press shows what the tab holds at once, at no cost.</t>
  </si>
  <si>
    <t xml:space="preserve">Scenes/UI/bag_page.gd</t>
  </si>
  <si>
    <t xml:space="preserve">42</t>
  </si>
  <si>
    <t xml:space="preserve">tests/test_inventory_bag.gd:918</t>
  </si>
  <si>
    <t xml:space="preserve">Weapons</t>
  </si>
  <si>
    <t xml:space="preserve">43</t>
  </si>
  <si>
    <t xml:space="preserve">Offhands</t>
  </si>
  <si>
    <t xml:space="preserve">44</t>
  </si>
  <si>
    <t xml:space="preserve">Helmets</t>
  </si>
  <si>
    <t xml:space="preserve">45</t>
  </si>
  <si>
    <t xml:space="preserve">Body armour</t>
  </si>
  <si>
    <t xml:space="preserve">46</t>
  </si>
  <si>
    <t xml:space="preserve">Boots</t>
  </si>
  <si>
    <t xml:space="preserve">47</t>
  </si>
  <si>
    <t xml:space="preserve">Rings</t>
  </si>
  <si>
    <t xml:space="preserve">48</t>
  </si>
  <si>
    <t xml:space="preserve">tests/test_inventory_bag.gd:908</t>
  </si>
  <si>
    <t xml:space="preserve">Amulets</t>
  </si>
  <si>
    <t xml:space="preserve">49</t>
  </si>
  <si>
    <t xml:space="preserve">Skill nodes</t>
  </si>
  <si>
    <t xml:space="preserve">50</t>
  </si>
  <si>
    <t xml:space="preserve">tests/test_inventory_bag.gd:926</t>
  </si>
  <si>
    <t xml:space="preserve">Title bar</t>
  </si>
  <si>
    <t xml:space="preserve">X</t>
  </si>
  <si>
    <t xml:space="preserve">Close the item panel</t>
  </si>
  <si>
    <t xml:space="preserve">274</t>
  </si>
  <si>
    <t xml:space="preserve">Close the heirlooms</t>
  </si>
  <si>
    <t xml:space="preserve">273</t>
  </si>
  <si>
    <t xml:space="preserve">Transcension</t>
  </si>
  <si>
    <t xml:space="preserve">A bag page on the black screen</t>
  </si>
  <si>
    <t xml:space="preserve">Back</t>
  </si>
  <si>
    <t xml:space="preserve">An X still, and the black screen is the only place it could lead.</t>
  </si>
  <si>
    <t xml:space="preserve">A level's heading</t>
  </si>
  <si>
    <t xml:space="preserve">Struck-through chest (icon only, toggle)</t>
  </si>
  <si>
    <t xml:space="preserve">Stop collecting level %d loot</t>
  </si>
  <si>
    <t xml:space="preserve">Stop collecting level 3 loot</t>
  </si>
  <si>
    <t xml:space="preserve">An icon with a lasting effect: every later drop of that level is thrown away. 'Stop collecting' is gentle for that, and 'level 3 loot' leaves 'item level' to be guessed.</t>
  </si>
  <si>
    <t xml:space="preserve">Leave level %d items where they fall from now on</t>
  </si>
  <si>
    <t xml:space="preserve">610</t>
  </si>
  <si>
    <t xml:space="preserve">The same toggle, held down</t>
  </si>
  <si>
    <t xml:space="preserve">Continue collecting level %d loot</t>
  </si>
  <si>
    <t xml:space="preserve">Continue collecting level 3 loot</t>
  </si>
  <si>
    <t xml:space="preserve">Clear as the way back. 'Continue' suggests it was only paused.</t>
  </si>
  <si>
    <t xml:space="preserve">Pick up level %d items again</t>
  </si>
  <si>
    <t xml:space="preserve">A level's heading, in a town that buys gear</t>
  </si>
  <si>
    <t xml:space="preserve">Coins (icon only)</t>
  </si>
  <si>
    <t xml:space="preserve">Sell %d level %d %s for %s gold</t>
  </si>
  <si>
    <t xml:space="preserve">Sell 7 level 3 items for 1.2K gold</t>
  </si>
  <si>
    <t xml:space="preserve">A bare mark that sells a whole level. The question after the press says the same, until 'don't ask again' is ticked. Then this is the only warning.</t>
  </si>
  <si>
    <t xml:space="preserve">630</t>
  </si>
  <si>
    <t xml:space="preserve">Scenes/UI/bag_page.gd:636 (the question it asks); tests/test_town_pages.gd:54, 94; tests/screenshot_ui.gd:590, 609</t>
  </si>
  <si>
    <t xml:space="preserve">A level's heading, away from town</t>
  </si>
  <si>
    <t xml:space="preserve">Bin (icon only)</t>
  </si>
  <si>
    <t xml:space="preserve">Discard %d level %d %s</t>
  </si>
  <si>
    <t xml:space="preserve">Discard 7 level 3 items</t>
  </si>
  <si>
    <t xml:space="preserve">A bare mark that destroys a whole level. The question after the press says the same, until 'don't ask again' is ticked. Then this is the only warning.</t>
  </si>
  <si>
    <t xml:space="preserve">631</t>
  </si>
  <si>
    <t xml:space="preserve">Scenes/UI/bag_page.gd:639 (the question it asks); tests/inventory_base.gd:138; tests/test_town_pages.gd:44</t>
  </si>
  <si>
    <t xml:space="preserve">An open piece</t>
  </si>
  <si>
    <t xml:space="preserve">Equip button</t>
  </si>
  <si>
    <t xml:space="preserve">Wear this in the %s slot%s</t>
  </si>
  <si>
    <t xml:space="preserve">Wear this in the weapon slot</t>
  </si>
  <si>
    <t xml:space="preserve">1092</t>
  </si>
  <si>
    <t xml:space="preserve">Equip button, when something comes off</t>
  </si>
  <si>
    <t xml:space="preserve">, putting %s back in the bag</t>
  </si>
  <si>
    <t xml:space="preserve">Wear this in the weapon slot, putting Rusty Sword, Oak Shield back in the bag</t>
  </si>
  <si>
    <t xml:space="preserve">What comes off goes back into the bag in plain sight and can be put on again.</t>
  </si>
  <si>
    <t xml:space="preserve">1094</t>
  </si>
  <si>
    <t xml:space="preserve">Equip button, greyed</t>
  </si>
  <si>
    <t xml:space="preserve">Needs %d %s</t>
  </si>
  <si>
    <t xml:space="preserve">Needs 12 Strength</t>
  </si>
  <si>
    <t xml:space="preserve">The piece writes 'Requires 12 Strength' in the same grey whether it is met or not, so the dead button is where the player learns that this is the reason.</t>
  </si>
  <si>
    <t xml:space="preserve">Scenes/Items/inventory.gd</t>
  </si>
  <si>
    <t xml:space="preserve">523</t>
  </si>
  <si>
    <t xml:space="preserve">The bag is full</t>
  </si>
  <si>
    <t xml:space="preserve">Puzzling on Equip: why would putting something on need room? The room is for what comes off.</t>
  </si>
  <si>
    <t xml:space="preserve">No room in the bag for what comes off</t>
  </si>
  <si>
    <t xml:space="preserve">514</t>
  </si>
  <si>
    <t xml:space="preserve">An open heirloom</t>
  </si>
  <si>
    <t xml:space="preserve">Lone Heir: only one heirloom may be worn</t>
  </si>
  <si>
    <t xml:space="preserve">The curse was chosen a world ago and nothing on this page mentions it.</t>
  </si>
  <si>
    <t xml:space="preserve">516</t>
  </si>
  <si>
    <t xml:space="preserve">It does not go there</t>
  </si>
  <si>
    <t xml:space="preserve">A safety answer the player cannot reach: Equip is only offered for slots the piece fits.</t>
  </si>
  <si>
    <t xml:space="preserve">510</t>
  </si>
  <si>
    <t xml:space="preserve">An open ring</t>
  </si>
  <si>
    <t xml:space="preserve">Swap button (icon only)</t>
  </si>
  <si>
    <t xml:space="preserve">Equip over the other ring instead</t>
  </si>
  <si>
    <t xml:space="preserve">An icon with no word, and a press that does not equip: it changes which finger Equip will use.</t>
  </si>
  <si>
    <t xml:space="preserve">Switch Equip to the other ring slot</t>
  </si>
  <si>
    <t xml:space="preserve">1102</t>
  </si>
  <si>
    <t xml:space="preserve">tests/test_inventory_bag.gd:1329, 1334, 1337, 1341</t>
  </si>
  <si>
    <t xml:space="preserve">An open piece, in a town that buys gear</t>
  </si>
  <si>
    <t xml:space="preserve">Sell button</t>
  </si>
  <si>
    <t xml:space="preserve">Sell this to the merchant for %s gold</t>
  </si>
  <si>
    <t xml:space="preserve">Sell this to the merchant for 340 gold</t>
  </si>
  <si>
    <t xml:space="preserve">The word and the price are both on the button.</t>
  </si>
  <si>
    <t xml:space="preserve">1113</t>
  </si>
  <si>
    <t xml:space="preserve">Sell button, greyed</t>
  </si>
  <si>
    <t xml:space="preserve">Never sell is on</t>
  </si>
  <si>
    <t xml:space="preserve">The Never sell button stands on the same row, held down and green.</t>
  </si>
  <si>
    <t xml:space="preserve">1112</t>
  </si>
  <si>
    <t xml:space="preserve">An open piece, away from town</t>
  </si>
  <si>
    <t xml:space="preserve">Discard button</t>
  </si>
  <si>
    <t xml:space="preserve">Discard this for good</t>
  </si>
  <si>
    <t xml:space="preserve">A red button that says Discard. 'For good' is what the word means.</t>
  </si>
  <si>
    <t xml:space="preserve">1119</t>
  </si>
  <si>
    <t xml:space="preserve">Never sell toggle, off</t>
  </si>
  <si>
    <t xml:space="preserve">Sell all and the bin pass this by</t>
  </si>
  <si>
    <t xml:space="preserve">The button says Never sell and the padlock protects from more than selling. This is the only place the rule is said, and it is said in the names of two icons the player has never seen named.</t>
  </si>
  <si>
    <t xml:space="preserve">Keep this when a whole level is sold or discarded. It cannot be sold on its own either</t>
  </si>
  <si>
    <t xml:space="preserve">1136</t>
  </si>
  <si>
    <t xml:space="preserve">Never sell toggle, on</t>
  </si>
  <si>
    <t xml:space="preserve">Let Sell all and the bin take this again</t>
  </si>
  <si>
    <t xml:space="preserve">The mirror of the row above. A green button that says Never sell, pressed again, plainly undoes it.</t>
  </si>
  <si>
    <t xml:space="preserve">1135</t>
  </si>
  <si>
    <t xml:space="preserve">An open worn piece</t>
  </si>
  <si>
    <t xml:space="preserve">Unequip button</t>
  </si>
  <si>
    <t xml:space="preserve">Take this off and put it back in the bag</t>
  </si>
  <si>
    <t xml:space="preserve">1233</t>
  </si>
  <si>
    <t xml:space="preserve">Unequip button, greyed</t>
  </si>
  <si>
    <t xml:space="preserve">The bag's count stands on the same page, in red once it is nearly full, and a piece taken off plainly needs somewhere to go.</t>
  </si>
  <si>
    <t xml:space="preserve">The doll</t>
  </si>
  <si>
    <t xml:space="preserve">Arrow in its corner (icon only)</t>
  </si>
  <si>
    <t xml:space="preserve">Hide what is equipped</t>
  </si>
  <si>
    <t xml:space="preserve">A press folds the doll away at once, and the arrow that brings it back takes its place.</t>
  </si>
  <si>
    <t xml:space="preserve">1342</t>
  </si>
  <si>
    <t xml:space="preserve">Beside the bag, doll folded</t>
  </si>
  <si>
    <t xml:space="preserve">Arrow (icon only)</t>
  </si>
  <si>
    <t xml:space="preserve">Show what is equipped</t>
  </si>
  <si>
    <t xml:space="preserve">A press brings the doll back at once.</t>
  </si>
  <si>
    <t xml:space="preserve">351</t>
  </si>
  <si>
    <t xml:space="preserve">Rule over the orb tray</t>
  </si>
  <si>
    <t xml:space="preserve">Chevron (icon only)</t>
  </si>
  <si>
    <t xml:space="preserve">Hide the orbs and runes</t>
  </si>
  <si>
    <t xml:space="preserve">A press folds the trays at once, at no cost.</t>
  </si>
  <si>
    <t xml:space="preserve">1569</t>
  </si>
  <si>
    <t xml:space="preserve">Show the orbs and runes</t>
  </si>
  <si>
    <t xml:space="preserve">A press opens the trays at once, at no cost.</t>
  </si>
  <si>
    <t xml:space="preserve">The bag, choosing an heirloom</t>
  </si>
  <si>
    <t xml:space="preserve">Make heirloom button, greyed</t>
  </si>
  <si>
    <t xml:space="preserve">Open the item you would keep</t>
  </si>
  <si>
    <t xml:space="preserve">Met once a world, on the one screen where a missed step costs the heirloom.</t>
  </si>
  <si>
    <t xml:space="preserve">1203</t>
  </si>
  <si>
    <t xml:space="preserve">This item is broken</t>
  </si>
  <si>
    <t xml:space="preserve">The piece says Broken itself. What it does not say is the rule, that a broken piece cannot be made an heirloom, and nor does this.</t>
  </si>
  <si>
    <t xml:space="preserve">A broken item cannot be made an heirloom</t>
  </si>
  <si>
    <t xml:space="preserve">1204</t>
  </si>
  <si>
    <t xml:space="preserve">Make heirloom button</t>
  </si>
  <si>
    <t xml:space="preserve">Keep this when the world is left behind</t>
  </si>
  <si>
    <t xml:space="preserve">The question the press asks says it: 'It is the one item of this world you keep.'</t>
  </si>
  <si>
    <t xml:space="preserve">An empty socket</t>
  </si>
  <si>
    <t xml:space="preserve">Helmet / Amulet / Weapon / Offhand / Body / Ring / Boots</t>
  </si>
  <si>
    <t xml:space="preserve">Never seen: the square ignores the mouse, so the tip card cannot find it. Not missed: the doll's shape and the faint marks say which socket is which.</t>
  </si>
  <si>
    <t xml:space="preserve">Scenes/Items/equipment.gd</t>
  </si>
  <si>
    <t xml:space="preserve">37</t>
  </si>
  <si>
    <t xml:space="preserve">The offhand socket under a two-hander</t>
  </si>
  <si>
    <t xml:space="preserve">%s takes both hands</t>
  </si>
  <si>
    <t xml:space="preserve">Iron Greatsword takes both hands</t>
  </si>
  <si>
    <t xml:space="preserve">Never seen: the square ignores the mouse, so the tip card cannot find it. Not missed: the socket wears the weapon's own picture.</t>
  </si>
  <si>
    <t xml:space="preserve">1326</t>
  </si>
  <si>
    <t xml:space="preserve">Every item square</t>
  </si>
  <si>
    <t xml:space="preserve">A piece in the bag, on the doll or on a shelf</t>
  </si>
  <si>
    <t xml:space="preserve">%s (%s, level %d)</t>
  </si>
  <si>
    <t xml:space="preserve">Iron Sword (Rare, level 4)</t>
  </si>
  <si>
    <t xml:space="preserve">Never seen: the square ignores the mouse, so the tip card cannot find it. The item card says all of it.</t>
  </si>
  <si>
    <t xml:space="preserve">Scenes/UI/item_slot.gd</t>
  </si>
  <si>
    <t xml:space="preserve">81</t>
  </si>
  <si>
    <t xml:space="preserve">Collection log</t>
  </si>
  <si>
    <t xml:space="preserve">A unique not found yet</t>
  </si>
  <si>
    <t xml:space="preserve">Not found yet</t>
  </si>
  <si>
    <t xml:space="preserve">Never seen: the square ignores the mouse, so the tip card cannot find it. The card beside the square says more.</t>
  </si>
  <si>
    <t xml:space="preserve">201</t>
  </si>
  <si>
    <t xml:space="preserve">A placed skill node</t>
  </si>
  <si>
    <t xml:space="preserve">(the node's name)</t>
  </si>
  <si>
    <t xml:space="preserve">Never seen: the square ignores the mouse, so the tip card cannot find it. The node's card says more.</t>
  </si>
  <si>
    <t xml:space="preserve">238</t>
  </si>
  <si>
    <t xml:space="preserve">Towns</t>
  </si>
  <si>
    <t xml:space="preserve">Bounty card</t>
  </si>
  <si>
    <t xml:space="preserve">The promised piece (a framed mark)</t>
  </si>
  <si>
    <t xml:space="preserve">(the promised piece, in words)</t>
  </si>
  <si>
    <t xml:space="preserve">A rare sword +1</t>
  </si>
  <si>
    <t xml:space="preserve">Never seen: the square ignores the mouse, so the tip card cannot find it. Not missed: the picture, its frame and the + on its corner say the kind, the rarity and the rank.</t>
  </si>
  <si>
    <t xml:space="preserve">Scenes/UI/bounty_list.gd</t>
  </si>
  <si>
    <t xml:space="preserve">252</t>
  </si>
  <si>
    <t xml:space="preserve">Merchant's shelf</t>
  </si>
  <si>
    <t xml:space="preserve">A square already bought</t>
  </si>
  <si>
    <t xml:space="preserve">Bought. Restock fills the shelf again</t>
  </si>
  <si>
    <t xml:space="preserve">Never seen: the square ignores the mouse, so the tip card cannot find it. Not missed: an empty square on a shelf the player has just bought from.</t>
  </si>
  <si>
    <t xml:space="preserve">635</t>
  </si>
  <si>
    <t xml:space="preserve">Blacksmith, nothing held up</t>
  </si>
  <si>
    <t xml:space="preserve">The empty anvil square</t>
  </si>
  <si>
    <t xml:space="preserve">Open an item in your bag or on your doll</t>
  </si>
  <si>
    <t xml:space="preserve">Never seen: the square ignores the mouse, so the tip card cannot find it. The same sentence is written on the page beside it.</t>
  </si>
  <si>
    <t xml:space="preserve">922</t>
  </si>
  <si>
    <t xml:space="preserve">Orbs and runes</t>
  </si>
  <si>
    <t xml:space="preserve">Orb card (bag tray, loot list, vendor)</t>
  </si>
  <si>
    <t xml:space="preserve">Orb of Transmutation</t>
  </si>
  <si>
    <t xml:space="preserve">Hover card</t>
  </si>
  <si>
    <t xml:space="preserve">Makes an item uncommon with fresh modifiers, or rerolls an uncommon one's.</t>
  </si>
  <si>
    <t xml:space="preserve">The only explanation of the orb. It hides the catch: used on a rare or epic piece it makes that uncommon too. 'An uncommon one's' ends on a possessive with nothing after it, and 'rerolls' is never explained.</t>
  </si>
  <si>
    <t xml:space="preserve">Makes any item uncommon and gives it new modifiers. A rarer item drops to uncommon</t>
  </si>
  <si>
    <t xml:space="preserve">Scenes/Items/orb_table.gd</t>
  </si>
  <si>
    <t xml:space="preserve">63</t>
  </si>
  <si>
    <t xml:space="preserve">Orb of Augmentation</t>
  </si>
  <si>
    <t xml:space="preserve">Adds one more modifier, at any rarity.</t>
  </si>
  <si>
    <t xml:space="preserve">'At any rarity' is untrue for a common item, which the orb refuses, and it is unclear whether it describes the item or the modifier. It also does not say the item needs room.</t>
  </si>
  <si>
    <t xml:space="preserve">Adds one modifier to an item that has room for it. A common item has none</t>
  </si>
  <si>
    <t xml:space="preserve">67</t>
  </si>
  <si>
    <t xml:space="preserve">Orb of Alchemy</t>
  </si>
  <si>
    <t xml:space="preserve">Makes an item rare with fresh modifiers, or rerolls a rare one's.</t>
  </si>
  <si>
    <t xml:space="preserve">As Transmutation: an epic piece becomes rare, and the card does not warn of it.</t>
  </si>
  <si>
    <t xml:space="preserve">Makes any item rare and gives it new modifiers. An epic item drops to rare</t>
  </si>
  <si>
    <t xml:space="preserve">71</t>
  </si>
  <si>
    <t xml:space="preserve">Orb of Divinity</t>
  </si>
  <si>
    <t xml:space="preserve">Rerolls the value of every modifier, keeping the modifiers and their tiers.</t>
  </si>
  <si>
    <t xml:space="preserve">Exact, and says what is safe. It leans on 'tiers' and 'rerolls', which the game never explains.</t>
  </si>
  <si>
    <t xml:space="preserve">75</t>
  </si>
  <si>
    <t xml:space="preserve">Orb of Chaos</t>
  </si>
  <si>
    <t xml:space="preserve">Rerolls the tier and value of every modifier, keeping the modifiers themselves.</t>
  </si>
  <si>
    <t xml:space="preserve">Reads well beside Divinity: the two cards differ by exactly the word that matters.</t>
  </si>
  <si>
    <t xml:space="preserve">79</t>
  </si>
  <si>
    <t xml:space="preserve">Orb of Exaltation</t>
  </si>
  <si>
    <t xml:space="preserve">Makes an item epic with fresh modifiers, or rerolls an epic one's.</t>
  </si>
  <si>
    <t xml:space="preserve">No hidden catch here, since epic is the top. Only the dangling 'an epic one's'.</t>
  </si>
  <si>
    <t xml:space="preserve">Makes any item epic and gives it new modifiers</t>
  </si>
  <si>
    <t xml:space="preserve">83</t>
  </si>
  <si>
    <t xml:space="preserve">An orb with none held</t>
  </si>
  <si>
    <t xml:space="preserve">The faded square with no count already says none is held, and the line is untrue for an orb found and spent.</t>
  </si>
  <si>
    <t xml:space="preserve">Scenes/UI/orb_card.gd</t>
  </si>
  <si>
    <t xml:space="preserve">62</t>
  </si>
  <si>
    <t xml:space="preserve">Super orb card (transcension)</t>
  </si>
  <si>
    <t xml:space="preserve">A super orb with none left</t>
  </si>
  <si>
    <t xml:space="preserve">None left to spend</t>
  </si>
  <si>
    <t xml:space="preserve">The count in the tray's corner says it.</t>
  </si>
  <si>
    <t xml:space="preserve">Rune card (bag tray)</t>
  </si>
  <si>
    <t xml:space="preserve">Rune of Shifting</t>
  </si>
  <si>
    <t xml:space="preserve">Rerolls the tiers of the modifiers runes gave a tile.</t>
  </si>
  <si>
    <t xml:space="preserve">'The modifiers runes gave a tile' has to be read twice to find its verb. No rune card says how long its work lasts, or that the tile must be charted.</t>
  </si>
  <si>
    <t xml:space="preserve">Rolls new tiers for the modifiers that runes have added to a tile</t>
  </si>
  <si>
    <t xml:space="preserve">Scenes/Items/rune_table.gd</t>
  </si>
  <si>
    <t xml:space="preserve">22</t>
  </si>
  <si>
    <t xml:space="preserve">Rune of Upheaval</t>
  </si>
  <si>
    <t xml:space="preserve">Rerolls the modifiers runes gave a tile into different ones.</t>
  </si>
  <si>
    <t xml:space="preserve">The same knot as Shifting.</t>
  </si>
  <si>
    <t xml:space="preserve">Swaps the modifiers that runes have added to a tile for different ones</t>
  </si>
  <si>
    <t xml:space="preserve">24</t>
  </si>
  <si>
    <t xml:space="preserve">Rune of Unrest</t>
  </si>
  <si>
    <t xml:space="preserve">Gives a tile a new modifier.</t>
  </si>
  <si>
    <t xml:space="preserve">Short and true. No rune card says how long its work lasts, or that the tile must be charted.</t>
  </si>
  <si>
    <t xml:space="preserve">26</t>
  </si>
  <si>
    <t xml:space="preserve">Rune of Stillness</t>
  </si>
  <si>
    <t xml:space="preserve">Takes away a modifier a rune gave a tile.</t>
  </si>
  <si>
    <t xml:space="preserve">Clear once parsed. It does not say which modifier goes when there are several.</t>
  </si>
  <si>
    <t xml:space="preserve">Removes one modifier that a rune added to a tile</t>
  </si>
  <si>
    <t xml:space="preserve">Rune of Depth</t>
  </si>
  <si>
    <t xml:space="preserve">Makes a tile's enemies a level higher.</t>
  </si>
  <si>
    <t xml:space="preserve">Nothing to add.</t>
  </si>
  <si>
    <t xml:space="preserve">Rune of Ascent</t>
  </si>
  <si>
    <t xml:space="preserve">Makes a tile's enemies ascended: what they drop may be ascended.</t>
  </si>
  <si>
    <t xml:space="preserve">Explains 'ascended' with 'ascended'. The player needs the + to connect it to gear.</t>
  </si>
  <si>
    <t xml:space="preserve">Ascends a tile's enemies: their drops can come ascended (+1)</t>
  </si>
  <si>
    <t xml:space="preserve">Orb of Replacement</t>
  </si>
  <si>
    <t xml:space="preserve">Replaces the modifier you choose with another, freshly rolled.</t>
  </si>
  <si>
    <t xml:space="preserve">Says you choose, and what you get.</t>
  </si>
  <si>
    <t xml:space="preserve">Scenes/Items/super_orb_table.gd</t>
  </si>
  <si>
    <t xml:space="preserve">33</t>
  </si>
  <si>
    <t xml:space="preserve">Orb of Ascension</t>
  </si>
  <si>
    <t xml:space="preserve">Takes the item toward its next +1: +1 takes one, +2 two more, +3 three more, and so on. Each + rolls every modifier on it as if the item were %d levels higher, for good.</t>
  </si>
  <si>
    <t xml:space="preserve">The right facts in the hardest order. '+1 takes one' reads as arithmetic, and the reader has to work out that the ones and twos are orbs.</t>
  </si>
  <si>
    <t xml:space="preserve">Moves the item one step toward its next +. Reaching +1 takes 1 orb, +2 takes 2 more, +3 takes 3 more. Each + makes every modifier roll as if the item were %d levels higher, for good</t>
  </si>
  <si>
    <t xml:space="preserve">38</t>
  </si>
  <si>
    <t xml:space="preserve">Orb of Perfection</t>
  </si>
  <si>
    <t xml:space="preserve">Puts the modifier you choose at the top of its range, and it stays there whatever is done to the item afterwards.</t>
  </si>
  <si>
    <t xml:space="preserve">Says what it does and answers the next question before it is asked.</t>
  </si>
  <si>
    <t xml:space="preserve">Orb of Expansion</t>
  </si>
  <si>
    <t xml:space="preserve">Adds one modifier more than the item's rarity allows. Once per item.</t>
  </si>
  <si>
    <t xml:space="preserve">Clear, with its limit.</t>
  </si>
  <si>
    <t xml:space="preserve">Orb of Mending</t>
  </si>
  <si>
    <t xml:space="preserve">Makes a broken item whole again.</t>
  </si>
  <si>
    <t xml:space="preserve">53</t>
  </si>
  <si>
    <t xml:space="preserve">Orb of Binding</t>
  </si>
  <si>
    <t xml:space="preserve">Locks the modifier you choose so that no orb can move it, beside whatever a smith has locked. Once per item.</t>
  </si>
  <si>
    <t xml:space="preserve">'Move' means change here, and 'beside whatever a smith has locked' has to be read twice.</t>
  </si>
  <si>
    <t xml:space="preserve">Locks the modifier you choose so that no orb can change it, on top of a smith's lock. Once per item</t>
  </si>
  <si>
    <t xml:space="preserve">58</t>
  </si>
  <si>
    <t xml:space="preserve">Bounty journal</t>
  </si>
  <si>
    <t xml:space="preserve">Close the bounty list</t>
  </si>
  <si>
    <t xml:space="preserve">Bounty journal, a finished bounty</t>
  </si>
  <si>
    <t xml:space="preserve">'Claim at &lt;town&gt;' button</t>
  </si>
  <si>
    <t xml:space="preserve">Show %s on the map</t>
  </si>
  <si>
    <t xml:space="preserve">Show Oakford on the map</t>
  </si>
  <si>
    <t xml:space="preserve">The button names the town, and a press shows it on the map at no cost.</t>
  </si>
  <si>
    <t xml:space="preserve">113</t>
  </si>
  <si>
    <t xml:space="preserve">Give up button</t>
  </si>
  <si>
    <t xml:space="preserve">Give this bounty up</t>
  </si>
  <si>
    <t xml:space="preserve">As written it repeats the button. What the player needs before the first press is the cost, which is only said after it.</t>
  </si>
  <si>
    <t xml:space="preserve">Give this bounty up and lose its progress</t>
  </si>
  <si>
    <t xml:space="preserve">392</t>
  </si>
  <si>
    <t xml:space="preserve">Give up button, after one press ('Sure?')</t>
  </si>
  <si>
    <t xml:space="preserve">Press again to give it up and lose its progress</t>
  </si>
  <si>
    <t xml:space="preserve">The button already asks 'Sure?'. The loss belongs on the first tooltip, where it is read before any press.</t>
  </si>
  <si>
    <t xml:space="preserve">397</t>
  </si>
  <si>
    <t xml:space="preserve">Bounty card (journal and board)</t>
  </si>
  <si>
    <t xml:space="preserve">A land's hexagon</t>
  </si>
  <si>
    <t xml:space="preserve">(the land's name)</t>
  </si>
  <si>
    <t xml:space="preserve">Grassland</t>
  </si>
  <si>
    <t xml:space="preserve">The hexagon is the land's own tile, as the map draws it.</t>
  </si>
  <si>
    <t xml:space="preserve">196</t>
  </si>
  <si>
    <t xml:space="preserve">tests/test_town_pages.gd:762</t>
  </si>
  <si>
    <t xml:space="preserve">An orb among the rewards</t>
  </si>
  <si>
    <t xml:space="preserve">%d %s</t>
  </si>
  <si>
    <t xml:space="preserve">2 Orb of Chaos</t>
  </si>
  <si>
    <t xml:space="preserve">The picture is the orb's own, as in the tray, with the count on its corner.</t>
  </si>
  <si>
    <t xml:space="preserve">242</t>
  </si>
  <si>
    <t xml:space="preserve">Town page</t>
  </si>
  <si>
    <t xml:space="preserve">Leave the town</t>
  </si>
  <si>
    <t xml:space="preserve">259</t>
  </si>
  <si>
    <t xml:space="preserve">Counter tab (icon only)</t>
  </si>
  <si>
    <t xml:space="preserve">Bounty board</t>
  </si>
  <si>
    <t xml:space="preserve">A press opens the counter at no cost, and its name then heads the page.</t>
  </si>
  <si>
    <t xml:space="preserve">Scenes/Town/town_services.gd</t>
  </si>
  <si>
    <t xml:space="preserve">23</t>
  </si>
  <si>
    <t xml:space="preserve">Gear merchant</t>
  </si>
  <si>
    <t xml:space="preserve">Orb vendor</t>
  </si>
  <si>
    <t xml:space="preserve">25</t>
  </si>
  <si>
    <t xml:space="preserve">Blacksmith</t>
  </si>
  <si>
    <t xml:space="preserve">Fortuneteller</t>
  </si>
  <si>
    <t xml:space="preserve">27</t>
  </si>
  <si>
    <t xml:space="preserve">tests/reels.gd:478; tests/trailer.gd:387</t>
  </si>
  <si>
    <t xml:space="preserve">Merchants</t>
  </si>
  <si>
    <t xml:space="preserve">Restock button</t>
  </si>
  <si>
    <t xml:space="preserve">Clear this shelf for new stock. Each time costs twice the last</t>
  </si>
  <si>
    <t xml:space="preserve">The doubling is a rule the player needs before spending, and it is said nowhere else.</t>
  </si>
  <si>
    <t xml:space="preserve">440</t>
  </si>
  <si>
    <t xml:space="preserve">Merchants, fortuneteller, blacksmith</t>
  </si>
  <si>
    <t xml:space="preserve">Any priced button, greyed</t>
  </si>
  <si>
    <t xml:space="preserve">Not enough gold</t>
  </si>
  <si>
    <t xml:space="preserve">The price is on the button and the purse is on screen. Your ruling on Banish (2026-10-10) covers it: a short purse says nothing.</t>
  </si>
  <si>
    <t xml:space="preserve">1618</t>
  </si>
  <si>
    <t xml:space="preserve">Buy button</t>
  </si>
  <si>
    <t xml:space="preserve">Buy this and put it in your bag for %s gold</t>
  </si>
  <si>
    <t xml:space="preserve">Buy this and put it in your bag for 340 gold</t>
  </si>
  <si>
    <t xml:space="preserve">650</t>
  </si>
  <si>
    <t xml:space="preserve">Merchants and bounty board</t>
  </si>
  <si>
    <t xml:space="preserve">Buy, Claim or Take, greyed</t>
  </si>
  <si>
    <t xml:space="preserve">On Claim and Take the cause is nowhere on the screen: a finished bounty that will not pay.</t>
  </si>
  <si>
    <t xml:space="preserve">1620</t>
  </si>
  <si>
    <t xml:space="preserve">tests/test_town_pages.gd:539</t>
  </si>
  <si>
    <t xml:space="preserve">Back arrow under an open piece (icon only)</t>
  </si>
  <si>
    <t xml:space="preserve">Back to what the vendor has</t>
  </si>
  <si>
    <t xml:space="preserve">656</t>
  </si>
  <si>
    <t xml:space="preserve">An orb on the shelf (third line of its card)</t>
  </si>
  <si>
    <t xml:space="preserve">%s gold%s</t>
  </si>
  <si>
    <t xml:space="preserve">120 gold. Not enough gold</t>
  </si>
  <si>
    <t xml:space="preserve">The price stands under the square.</t>
  </si>
  <si>
    <t xml:space="preserve">466</t>
  </si>
  <si>
    <t xml:space="preserve">Orb vendor: Trade up</t>
  </si>
  <si>
    <t xml:space="preserve">An orb (third line of its card)</t>
  </si>
  <si>
    <t xml:space="preserve">Trade %d %s for one</t>
  </si>
  <si>
    <t xml:space="preserve">Trade 3 Orb of Transmutation for one</t>
  </si>
  <si>
    <t xml:space="preserve">The cost stands under the square the way a price does: the count beside the orb's picture.</t>
  </si>
  <si>
    <t xml:space="preserve">506</t>
  </si>
  <si>
    <t xml:space="preserve">The pips at the heading's end</t>
  </si>
  <si>
    <t xml:space="preserve">%d of %d handed in. Clear the board for a reward</t>
  </si>
  <si>
    <t xml:space="preserve">1 of 3 handed in. Clear the board for a reward</t>
  </si>
  <si>
    <t xml:space="preserve">Before a board is first cleared, nothing else says that clearing it pays.</t>
  </si>
  <si>
    <t xml:space="preserve">688</t>
  </si>
  <si>
    <t xml:space="preserve">The pips, board cleared</t>
  </si>
  <si>
    <t xml:space="preserve">Your reward is waiting</t>
  </si>
  <si>
    <t xml:space="preserve">The Reward button under it says the same.</t>
  </si>
  <si>
    <t xml:space="preserve">687</t>
  </si>
  <si>
    <t xml:space="preserve">Reward button</t>
  </si>
  <si>
    <t xml:space="preserve">Choose your reward for clearing this board</t>
  </si>
  <si>
    <t xml:space="preserve">692</t>
  </si>
  <si>
    <t xml:space="preserve">Accept button</t>
  </si>
  <si>
    <t xml:space="preserve">Take this work on</t>
  </si>
  <si>
    <t xml:space="preserve">718</t>
  </si>
  <si>
    <t xml:space="preserve">Accept button, greyed</t>
  </si>
  <si>
    <t xml:space="preserve">Hand in the bounty you have taken first</t>
  </si>
  <si>
    <t xml:space="preserve">The board shows which bounty is out. The rule that only one may be out at a time is said nowhere but here, and this can be read as 'the bounty you took first'.</t>
  </si>
  <si>
    <t xml:space="preserve">You already have a bounty. Hand it in or give it up first</t>
  </si>
  <si>
    <t xml:space="preserve">Claim button</t>
  </si>
  <si>
    <t xml:space="preserve">Hand this in for %s gold%s%s</t>
  </si>
  <si>
    <t xml:space="preserve">Hand this in for 1.2K gold, 300 experience and a rare sword +1</t>
  </si>
  <si>
    <t xml:space="preserve">The card above the button shows the gold, the experience and the piece.</t>
  </si>
  <si>
    <t xml:space="preserve">730</t>
  </si>
  <si>
    <t xml:space="preserve">tests/test_town_pages.gd:546</t>
  </si>
  <si>
    <t xml:space="preserve">Blacksmith, a piece held up</t>
  </si>
  <si>
    <t xml:space="preserve">Upgrade button</t>
  </si>
  <si>
    <t xml:space="preserve">Take this to level %d for %s gold. Its modifiers stay as they are</t>
  </si>
  <si>
    <t xml:space="preserve">Take this to level 6 for 2.4K gold. Its modifiers stay as they are</t>
  </si>
  <si>
    <t xml:space="preserve">The level it goes to, the risk and the price are written over and on the button. That the modifiers stay is seen at the first blow.</t>
  </si>
  <si>
    <t xml:space="preserve">907</t>
  </si>
  <si>
    <t xml:space="preserve">Upgrade or Lock, greyed</t>
  </si>
  <si>
    <t xml:space="preserve">It's broken. Not my job to mend it.</t>
  </si>
  <si>
    <t xml:space="preserve">The piece on the anvil says Broken in red.</t>
  </si>
  <si>
    <t xml:space="preserve">Scenes/Town/blacksmith.gd</t>
  </si>
  <si>
    <t xml:space="preserve">Upgrade, greyed (an heirloom)</t>
  </si>
  <si>
    <t xml:space="preserve">It climbs to level %d on its own</t>
  </si>
  <si>
    <t xml:space="preserve">It climbs to level 12 on its own</t>
  </si>
  <si>
    <t xml:space="preserve">The piece says 'Climbs to level 12'. It does not say that this is why the smith will not touch it, or how it climbs.</t>
  </si>
  <si>
    <t xml:space="preserve">An heirloom: it rises to level %d by itself as you chart land</t>
  </si>
  <si>
    <t xml:space="preserve">Upgrade, greyed</t>
  </si>
  <si>
    <t xml:space="preserve">Level %d is the most here</t>
  </si>
  <si>
    <t xml:space="preserve">Level 9 is the most here</t>
  </si>
  <si>
    <t xml:space="preserve">The page only writes the smith's limit while Upgrade can be pressed, so on a dead button this is the one place it is said. 'Here' is doing the work: a deeper smith goes further.</t>
  </si>
  <si>
    <t xml:space="preserve">This smith cannot go past level %d. One deeper in can</t>
  </si>
  <si>
    <t xml:space="preserve">54</t>
  </si>
  <si>
    <t xml:space="preserve">Lock button</t>
  </si>
  <si>
    <t xml:space="preserve">Pin one of its modifiers for good, for %s gold</t>
  </si>
  <si>
    <t xml:space="preserve">Pin one of its modifiers for good, for 5K gold</t>
  </si>
  <si>
    <t xml:space="preserve">Leaves out the fact that matters most: the smith picks the modifier at random. It also says 'pin' under a button that says Lock, and not what a pinned modifier is safe from.</t>
  </si>
  <si>
    <t xml:space="preserve">Locks one of its modifiers, picked at random, so that no orb can change it. For good</t>
  </si>
  <si>
    <t xml:space="preserve">912</t>
  </si>
  <si>
    <t xml:space="preserve">Lock, greyed</t>
  </si>
  <si>
    <t xml:space="preserve">One lock to an item</t>
  </si>
  <si>
    <t xml:space="preserve">A rule stated as a proverb.</t>
  </si>
  <si>
    <t xml:space="preserve">This item already has a locked modifier</t>
  </si>
  <si>
    <t xml:space="preserve">Nothing here to lock</t>
  </si>
  <si>
    <t xml:space="preserve">A piece with no modifiers shows none.</t>
  </si>
  <si>
    <t xml:space="preserve">84</t>
  </si>
  <si>
    <t xml:space="preserve">A spell's square (icon and price, no name): Roads</t>
  </si>
  <si>
    <t xml:space="preserve">Brings every settlement between the ice walls around you, and the land beside it, out of the fog</t>
  </si>
  <si>
    <t xml:space="preserve">The square has no words at all, so this carries everything. 'Between the ice walls around you' is hard to picture, and the verb comes a long way before 'out of the fog'.</t>
  </si>
  <si>
    <t xml:space="preserve">Reveals every settlement inside this ring of ice walls, and the tiles next to each</t>
  </si>
  <si>
    <t xml:space="preserve">134</t>
  </si>
  <si>
    <t xml:space="preserve">A spell's square (icon and price, no name): Treasure</t>
  </si>
  <si>
    <t xml:space="preserve">Puts a star over the nearest chest you have not seen. It stays until that chest is opened</t>
  </si>
  <si>
    <t xml:space="preserve">What you get and how long it lasts.</t>
  </si>
  <si>
    <t xml:space="preserve">135</t>
  </si>
  <si>
    <t xml:space="preserve">A spell's square (icon and price, no name): Appraise</t>
  </si>
  <si>
    <t xml:space="preserve">Lists every modifier the open item can roll, the range it rolls in at the item's level, and how often it comes up</t>
  </si>
  <si>
    <t xml:space="preserve">Complete. 'The open item' assumes the player knows a piece has to be open in the bag.</t>
  </si>
  <si>
    <t xml:space="preserve">136</t>
  </si>
  <si>
    <t xml:space="preserve">A spell's square (icon and price, no name): Scour</t>
  </si>
  <si>
    <t xml:space="preserve">Brings a tile and the two rings of land around it, nineteen tiles, out of the fog</t>
  </si>
  <si>
    <t xml:space="preserve">Does not say the player picks the tile, which is the point of the spell.</t>
  </si>
  <si>
    <t xml:space="preserve">Reveals a tile you choose and the two rings of land around it: nineteen tiles</t>
  </si>
  <si>
    <t xml:space="preserve">137</t>
  </si>
  <si>
    <t xml:space="preserve">A spell's square (icon and price, no name): Return</t>
  </si>
  <si>
    <t xml:space="preserve">Moves you to a settlement or the Gollux cave you have already charted</t>
  </si>
  <si>
    <t xml:space="preserve">Clear. It names the Gollux cave to players who have not met Gollux yet.</t>
  </si>
  <si>
    <t xml:space="preserve">138</t>
  </si>
  <si>
    <t xml:space="preserve">A spell's square (icon and price, no name): Transcend</t>
  </si>
  <si>
    <t xml:space="preserve">Ends this world and starts a new one, worth far more</t>
  </si>
  <si>
    <t xml:space="preserve">The biggest press in the game. 'Worth far more' does not say more of what, and nothing here says what is kept. Her question after the press does say what is lost.</t>
  </si>
  <si>
    <t xml:space="preserve">Ends this world and starts a new one. You keep one item as an heirloom</t>
  </si>
  <si>
    <t xml:space="preserve">139</t>
  </si>
  <si>
    <t xml:space="preserve">A spell's square (icon and price, no name): Banish</t>
  </si>
  <si>
    <t xml:space="preserve">Keeps a unique you choose from dropping in this world</t>
  </si>
  <si>
    <t xml:space="preserve">For a moment 'Keeps a unique' reads as the opposite of what the spell does.</t>
  </si>
  <si>
    <t xml:space="preserve">Stops a unique you choose from dropping in this world</t>
  </si>
  <si>
    <t xml:space="preserve">141</t>
  </si>
  <si>
    <t xml:space="preserve">A great spell's square, greyed</t>
  </si>
  <si>
    <t xml:space="preserve">That spell is spent here</t>
  </si>
  <si>
    <t xml:space="preserve">Says it is gone, not that it comes back in another town.</t>
  </si>
  <si>
    <t xml:space="preserve">Already cast in this town. Another town will sell it</t>
  </si>
  <si>
    <t xml:space="preserve">1462</t>
  </si>
  <si>
    <t xml:space="preserve">Roads, greyed</t>
  </si>
  <si>
    <t xml:space="preserve">Already bought here</t>
  </si>
  <si>
    <t xml:space="preserve">The same rule as the row above in different words.</t>
  </si>
  <si>
    <t xml:space="preserve">1464</t>
  </si>
  <si>
    <t xml:space="preserve">Treasure, greyed</t>
  </si>
  <si>
    <t xml:space="preserve">The star is already out</t>
  </si>
  <si>
    <t xml:space="preserve">'Out' can mean showing or gone.</t>
  </si>
  <si>
    <t xml:space="preserve">A chest is already marked. Open it first</t>
  </si>
  <si>
    <t xml:space="preserve">1469</t>
  </si>
  <si>
    <t xml:space="preserve">She sees no hidden chest</t>
  </si>
  <si>
    <t xml:space="preserve">The cause is out in the fog, not on the page.</t>
  </si>
  <si>
    <t xml:space="preserve">1471</t>
  </si>
  <si>
    <t xml:space="preserve">Appraise, greyed</t>
  </si>
  <si>
    <t xml:space="preserve">Open an item in your bag</t>
  </si>
  <si>
    <t xml:space="preserve">Tells the player the step they have missed.</t>
  </si>
  <si>
    <t xml:space="preserve">Scenes/Town/fortune_teller.gd</t>
  </si>
  <si>
    <t xml:space="preserve">101</t>
  </si>
  <si>
    <t xml:space="preserve">Appraise, greyed (a unique is open)</t>
  </si>
  <si>
    <t xml:space="preserve">A unique's lines are already written</t>
  </si>
  <si>
    <t xml:space="preserve">Poetic, and the player is left to work out that it means there is nothing to appraise.</t>
  </si>
  <si>
    <t xml:space="preserve">A unique's modifiers are fixed. There is nothing to appraise</t>
  </si>
  <si>
    <t xml:space="preserve">86</t>
  </si>
  <si>
    <t xml:space="preserve">Return, greyed</t>
  </si>
  <si>
    <t xml:space="preserve">You have found nowhere else to stand</t>
  </si>
  <si>
    <t xml:space="preserve">Sounds like a remark, not a reason.</t>
  </si>
  <si>
    <t xml:space="preserve">You have charted no other settlement to go to</t>
  </si>
  <si>
    <t xml:space="preserve">1478</t>
  </si>
  <si>
    <t xml:space="preserve">Any spell, greyed</t>
  </si>
  <si>
    <t xml:space="preserve">She sees nothing here</t>
  </si>
  <si>
    <t xml:space="preserve">Only said when the page has no map behind it, which does not happen in play.</t>
  </si>
  <si>
    <t xml:space="preserve">1460</t>
  </si>
  <si>
    <t xml:space="preserve">Fortuneteller: Appraise's answer</t>
  </si>
  <si>
    <t xml:space="preserve">A modifier's percentage</t>
  </si>
  <si>
    <t xml:space="preserve">Weight %d</t>
  </si>
  <si>
    <t xml:space="preserve">Weight 120</t>
  </si>
  <si>
    <t xml:space="preserve">A raw table weight. The percentage it sits on is that figure already worked out.</t>
  </si>
  <si>
    <t xml:space="preserve">1435</t>
  </si>
  <si>
    <t xml:space="preserve">Fortuneteller: Banish screen</t>
  </si>
  <si>
    <t xml:space="preserve">Banish button, greyed</t>
  </si>
  <si>
    <t xml:space="preserve">You need at least %d uniques in the drop pool</t>
  </si>
  <si>
    <t xml:space="preserve">You need at least 5 uniques in the drop pool</t>
  </si>
  <si>
    <t xml:space="preserve">The one reason you kept on this button. 'Drop pool' is a developer's term.</t>
  </si>
  <si>
    <t xml:space="preserve">She always leaves at least %d uniques able to drop</t>
  </si>
  <si>
    <t xml:space="preserve">170</t>
  </si>
  <si>
    <t xml:space="preserve">tests/test_town_pages.gd:1199</t>
  </si>
  <si>
    <t xml:space="preserve">Already banished</t>
  </si>
  <si>
    <t xml:space="preserve">A banished unique gets Restore in Banish's place, so this cannot be seen.</t>
  </si>
  <si>
    <t xml:space="preserve">168</t>
  </si>
  <si>
    <t xml:space="preserve">Fortuneteller: the way out's question</t>
  </si>
  <si>
    <t xml:space="preserve">Cancel button</t>
  </si>
  <si>
    <t xml:space="preserve">Stay in this world</t>
  </si>
  <si>
    <t xml:space="preserve">1267</t>
  </si>
  <si>
    <t xml:space="preserve">Transcend button</t>
  </si>
  <si>
    <t xml:space="preserve">Leave this world for %s gold</t>
  </si>
  <si>
    <t xml:space="preserve">Leave this world for 50K gold</t>
  </si>
  <si>
    <t xml:space="preserve">The button carries a coin and no figure, so this is the only place her question gives the sum. Better still: put the figure on the button, and cut this.</t>
  </si>
  <si>
    <t xml:space="preserve">1273</t>
  </si>
  <si>
    <t xml:space="preserve">Skill tree page</t>
  </si>
  <si>
    <t xml:space="preserve">Close the skill tree</t>
  </si>
  <si>
    <t xml:space="preserve">Scenes/UI/skills_page.gd</t>
  </si>
  <si>
    <t xml:space="preserve">Reset button</t>
  </si>
  <si>
    <t xml:space="preserve">Take back every point, for gold</t>
  </si>
  <si>
    <t xml:space="preserve">A paid press with no question after it. The player needs to know what goes (the points) and what stays (the nodes). 'For gold' repeats the price on the button.</t>
  </si>
  <si>
    <t xml:space="preserve">Take back every point you have spent. The nodes stay where they are</t>
  </si>
  <si>
    <t xml:space="preserve">- button</t>
  </si>
  <si>
    <t xml:space="preserve">Zoom out</t>
  </si>
  <si>
    <t xml:space="preserve">A minus beside a tree that shrinks when it is pressed.</t>
  </si>
  <si>
    <t xml:space="preserve">Scenes/UI/skill_tree_view.gd</t>
  </si>
  <si>
    <t xml:space="preserve">483</t>
  </si>
  <si>
    <t xml:space="preserve">+ button</t>
  </si>
  <si>
    <t xml:space="preserve">Zoom in</t>
  </si>
  <si>
    <t xml:space="preserve">A plus beside a tree that grows when it is pressed.</t>
  </si>
  <si>
    <t xml:space="preserve">tests/test_skills.gd:374</t>
  </si>
  <si>
    <t xml:space="preserve">Character page</t>
  </si>
  <si>
    <t xml:space="preserve">Scenes/UI/character_page.gd</t>
  </si>
  <si>
    <t xml:space="preserve">112</t>
  </si>
  <si>
    <t xml:space="preserve">Beside the hero's name</t>
  </si>
  <si>
    <t xml:space="preserve">Pencil (icon only)</t>
  </si>
  <si>
    <t xml:space="preserve">Rename</t>
  </si>
  <si>
    <t xml:space="preserve">A pencil beside a name.</t>
  </si>
  <si>
    <t xml:space="preserve">257</t>
  </si>
  <si>
    <t xml:space="preserve">tests/test_inventory_uniques.gd:1169</t>
  </si>
  <si>
    <t xml:space="preserve">Attributes</t>
  </si>
  <si>
    <t xml:space="preserve">Strength, Dexterity or Intelligence chip</t>
  </si>
  <si>
    <t xml:space="preserve">Each point of %s adds %.1f%% more %s
Yours add +%.1f%%</t>
  </si>
  <si>
    <t xml:space="preserve">Each point of Strength adds 0.5% more Damage / Yours add +12.0%</t>
  </si>
  <si>
    <t xml:space="preserve">The only place the game says what an attribute does, with the player's own total under it. A model tooltip.</t>
  </si>
  <si>
    <t xml:space="preserve">305</t>
  </si>
  <si>
    <t xml:space="preserve">Stat tables (a row's tooltip is where its number comes from)</t>
  </si>
  <si>
    <t xml:space="preserve">Damage row</t>
  </si>
  <si>
    <t xml:space="preserve">Bare hands +%d</t>
  </si>
  <si>
    <t xml:space="preserve">Bare hands +1</t>
  </si>
  <si>
    <t xml:space="preserve">A curiosity. Nothing is decided by it.</t>
  </si>
  <si>
    <t xml:space="preserve">465</t>
  </si>
  <si>
    <t xml:space="preserve">tests/test_inventory_uniques.gd:1055</t>
  </si>
  <si>
    <t xml:space="preserve">Collection +%d%%</t>
  </si>
  <si>
    <t xml:space="preserve">Collection +14%</t>
  </si>
  <si>
    <t xml:space="preserve">The collection log's foot says the same bonus.</t>
  </si>
  <si>
    <t xml:space="preserve">467</t>
  </si>
  <si>
    <t xml:space="preserve">Crit Chance and the three Reduction rows</t>
  </si>
  <si>
    <t xml:space="preserve">At most %s%%</t>
  </si>
  <si>
    <t xml:space="preserve">At most 75%</t>
  </si>
  <si>
    <t xml:space="preserve">The only sign that the number has hit a cap and more of the stat is wasted.</t>
  </si>
  <si>
    <t xml:space="preserve">470, 479</t>
  </si>
  <si>
    <t xml:space="preserve">tests/test_inventory_uniques.gd:1057</t>
  </si>
  <si>
    <t xml:space="preserve">Attack Speed row</t>
  </si>
  <si>
    <t xml:space="preserve">At most %.1f/s</t>
  </si>
  <si>
    <t xml:space="preserve">At most 5.0/s</t>
  </si>
  <si>
    <t xml:space="preserve">A cap, said where it bites.</t>
  </si>
  <si>
    <t xml:space="preserve">473</t>
  </si>
  <si>
    <t xml:space="preserve">Spawn Speed, Double Strike, Elite Chance, Recoup rows</t>
  </si>
  <si>
    <t xml:space="preserve">At most 100%</t>
  </si>
  <si>
    <t xml:space="preserve">A cap, said where it bites: more of the stat is wasted.</t>
  </si>
  <si>
    <t xml:space="preserve">476</t>
  </si>
  <si>
    <t xml:space="preserve">Armour row</t>
  </si>
  <si>
    <t xml:space="preserve">%d%% off every blow</t>
  </si>
  <si>
    <t xml:space="preserve">18% off every blow</t>
  </si>
  <si>
    <t xml:space="preserve">Turns a rating into what it does. The best kind of stat tooltip.</t>
  </si>
  <si>
    <t xml:space="preserve">481</t>
  </si>
  <si>
    <t xml:space="preserve">Dodge row</t>
  </si>
  <si>
    <t xml:space="preserve">%d%% of blows dodged</t>
  </si>
  <si>
    <t xml:space="preserve">12% of blows dodged</t>
  </si>
  <si>
    <t xml:space="preserve">Turns a rating into what it does.</t>
  </si>
  <si>
    <t xml:space="preserve">Fight Clock row</t>
  </si>
  <si>
    <t xml:space="preserve">Base %s</t>
  </si>
  <si>
    <t xml:space="preserve">A breakdown. Nothing is decided by it.</t>
  </si>
  <si>
    <t xml:space="preserve">485</t>
  </si>
  <si>
    <t xml:space="preserve">Gear %s</t>
  </si>
  <si>
    <t xml:space="preserve">487</t>
  </si>
  <si>
    <t xml:space="preserve">Gear at most %s</t>
  </si>
  <si>
    <t xml:space="preserve">489</t>
  </si>
  <si>
    <t xml:space="preserve">Sight row</t>
  </si>
  <si>
    <t xml:space="preserve">Base %d</t>
  </si>
  <si>
    <t xml:space="preserve">Base 2 / Gear +1</t>
  </si>
  <si>
    <t xml:space="preserve">491</t>
  </si>
  <si>
    <t xml:space="preserve">Gear +%d</t>
  </si>
  <si>
    <t xml:space="preserve">493</t>
  </si>
  <si>
    <t xml:space="preserve">Any row an attribute feeds</t>
  </si>
  <si>
    <t xml:space="preserve">%s +%.1f%%</t>
  </si>
  <si>
    <t xml:space="preserve">Strength +12.0%</t>
  </si>
  <si>
    <t xml:space="preserve">The attribute's own chip already says 'Yours add +12.0%'.</t>
  </si>
  <si>
    <t xml:space="preserve">498</t>
  </si>
  <si>
    <t xml:space="preserve">Close the collection</t>
  </si>
  <si>
    <t xml:space="preserve">Scenes/UI/collection_page.gd</t>
  </si>
  <si>
    <t xml:space="preserve">Collection log, at the foot</t>
  </si>
  <si>
    <t xml:space="preserve">Info mark (comes up at once)</t>
  </si>
  <si>
    <t xml:space="preserve">Each unique found adds %d%% increased Damage, worn or not</t>
  </si>
  <si>
    <t xml:space="preserve">Each unique found adds 1% increased Damage, worn or not</t>
  </si>
  <si>
    <t xml:space="preserve">The rule behind the '+N% Damage' beside it, with the one doubt ('worn or not') answered.</t>
  </si>
  <si>
    <t xml:space="preserve">Achievements page</t>
  </si>
  <si>
    <t xml:space="preserve">Close the achievements</t>
  </si>
  <si>
    <t xml:space="preserve">Scenes/UI/achievements_page.gd</t>
  </si>
  <si>
    <t xml:space="preserve">Close the leaderboard</t>
  </si>
  <si>
    <t xml:space="preserve">Scenes/UI/leaderboard_page.gd</t>
  </si>
  <si>
    <t xml:space="preserve">60</t>
  </si>
  <si>
    <t xml:space="preserve">Tabs</t>
  </si>
  <si>
    <t xml:space="preserve">Gollux tab</t>
  </si>
  <si>
    <t xml:space="preserve">Deepest descent</t>
  </si>
  <si>
    <t xml:space="preserve">The tab says Gollux and the columns say Depth and Floor.</t>
  </si>
  <si>
    <t xml:space="preserve">Walls tab</t>
  </si>
  <si>
    <t xml:space="preserve">Ice walls broken, in every world</t>
  </si>
  <si>
    <t xml:space="preserve">The tab and the column both say Walls. What they cannot say is that the count runs across every world, and 'in every world' can be read as 'in each'.</t>
  </si>
  <si>
    <t xml:space="preserve">Ice walls broken in total, across every world</t>
  </si>
  <si>
    <t xml:space="preserve">Deepest tab</t>
  </si>
  <si>
    <t xml:space="preserve">Deepest tile charted, in any world</t>
  </si>
  <si>
    <t xml:space="preserve">'Deepest' over a column headed Level does not say deepest what.</t>
  </si>
  <si>
    <t xml:space="preserve">29</t>
  </si>
  <si>
    <t xml:space="preserve">Foot</t>
  </si>
  <si>
    <t xml:space="preserve">Refresh button</t>
  </si>
  <si>
    <t xml:space="preserve">Read the board again</t>
  </si>
  <si>
    <t xml:space="preserve">69</t>
  </si>
  <si>
    <t xml:space="preserve">You, signing in</t>
  </si>
  <si>
    <t xml:space="preserve">Stop signing in</t>
  </si>
  <si>
    <t xml:space="preserve">Cancel, under a sign-in under way.</t>
  </si>
  <si>
    <t xml:space="preserve">106</t>
  </si>
  <si>
    <t xml:space="preserve">You, signed out</t>
  </si>
  <si>
    <t xml:space="preserve">Sign in button</t>
  </si>
  <si>
    <t xml:space="preserve">Put your descents on the board: your save goes to the cloud. You sign in with Google or Discord, in your browser</t>
  </si>
  <si>
    <t xml:space="preserve">Tells the player their save will be uploaded and that a browser will open, before the press. Needed. 'Your descents' is out of date: there are three boards now.</t>
  </si>
  <si>
    <t xml:space="preserve">Put your scores on the boards: your save goes to the cloud. You sign in with Google or Discord, in your browser</t>
  </si>
  <si>
    <t xml:space="preserve">111</t>
  </si>
  <si>
    <t xml:space="preserve">You, choosing a name</t>
  </si>
  <si>
    <t xml:space="preserve">Choose name button</t>
  </si>
  <si>
    <t xml:space="preserve">Put this name on the board</t>
  </si>
  <si>
    <t xml:space="preserve">Top</t>
  </si>
  <si>
    <t xml:space="preserve">A row of the board</t>
  </si>
  <si>
    <t xml:space="preserve">Reached %s</t>
  </si>
  <si>
    <t xml:space="preserve">Reached 2026-10-08 14:03:22</t>
  </si>
  <si>
    <t xml:space="preserve">205</t>
  </si>
  <si>
    <t xml:space="preserve">You, signing in (also in Settings)</t>
  </si>
  <si>
    <t xml:space="preserve">The four big letters</t>
  </si>
  <si>
    <t xml:space="preserve">Signing in, in your browser. It shows these letters too: if they differ, close it</t>
  </si>
  <si>
    <t xml:space="preserve">The letters stand on the page with no words, so this is their only explanation, and it is a safety check. 'It' and 'close it' leave the reader to work out what.</t>
  </si>
  <si>
    <t xml:space="preserve">The sign-in page in your browser shows these same letters. If it shows different ones, close that page</t>
  </si>
  <si>
    <t xml:space="preserve">277</t>
  </si>
  <si>
    <t xml:space="preserve">Close the settings</t>
  </si>
  <si>
    <t xml:space="preserve">Scenes/UI/settings_page.gd</t>
  </si>
  <si>
    <t xml:space="preserve">140</t>
  </si>
  <si>
    <t xml:space="preserve">Detailed item descriptions tick</t>
  </si>
  <si>
    <t xml:space="preserve">Shows beside each modifier the lowest and highest it could have rolled at the item's level, like +14(8-20)% increased Damage</t>
  </si>
  <si>
    <t xml:space="preserve">Turning the tick on shows '+14(8-20)%' on every item, and only this line says what the bracket means.</t>
  </si>
  <si>
    <t xml:space="preserve">Items: 'Uniques when a whole level is sold or discarded'</t>
  </si>
  <si>
    <t xml:space="preserve">Ask button</t>
  </si>
  <si>
    <t xml:space="preserve">A unique among the handful is asked about on its own</t>
  </si>
  <si>
    <t xml:space="preserve">The line above the three buttons ('Uniques when a whole level is sold or discarded') and the word Ask say it.</t>
  </si>
  <si>
    <t xml:space="preserve">A unique among the handful is sold or discarded with the rest</t>
  </si>
  <si>
    <t xml:space="preserve">The line above the three buttons and the word Sell say it.</t>
  </si>
  <si>
    <t xml:space="preserve">Keep button</t>
  </si>
  <si>
    <t xml:space="preserve">A unique among the handful is left in the bag</t>
  </si>
  <si>
    <t xml:space="preserve">The line above the three buttons and the word Keep say it.</t>
  </si>
  <si>
    <t xml:space="preserve">Loot filter: Material</t>
  </si>
  <si>
    <t xml:space="preserve">Any button</t>
  </si>
  <si>
    <t xml:space="preserve">Every material</t>
  </si>
  <si>
    <t xml:space="preserve">The button says Any.</t>
  </si>
  <si>
    <t xml:space="preserve">51</t>
  </si>
  <si>
    <t xml:space="preserve">Iron button</t>
  </si>
  <si>
    <t xml:space="preserve">The second material or better</t>
  </si>
  <si>
    <t xml:space="preserve">The button says Iron and the filter means more: the second material of every kind, metal or not, and anything better. A wrong guess here leaves loot on the ground.</t>
  </si>
  <si>
    <t xml:space="preserve">Iron or better: the second material of every kind of item</t>
  </si>
  <si>
    <t xml:space="preserve">Steel button</t>
  </si>
  <si>
    <t xml:space="preserve">The third material or better</t>
  </si>
  <si>
    <t xml:space="preserve">As Iron's.</t>
  </si>
  <si>
    <t xml:space="preserve">Steel or better: the third material of every kind of item</t>
  </si>
  <si>
    <t xml:space="preserve">Gold button</t>
  </si>
  <si>
    <t xml:space="preserve">The fourth material or better</t>
  </si>
  <si>
    <t xml:space="preserve">Gold or better: the fourth material of every kind of item</t>
  </si>
  <si>
    <t xml:space="preserve">52</t>
  </si>
  <si>
    <t xml:space="preserve">Master button</t>
  </si>
  <si>
    <t xml:space="preserve">Masterwork only</t>
  </si>
  <si>
    <t xml:space="preserve">Spells out the button's short word, and the top step has no 'or better' to explain.</t>
  </si>
  <si>
    <t xml:space="preserve">Cloud save</t>
  </si>
  <si>
    <t xml:space="preserve">Keep your save in the cloud and play it on any device. You sign in with Google or Discord, in your browser</t>
  </si>
  <si>
    <t xml:space="preserve">What it is for, who with, and that a browser opens.</t>
  </si>
  <si>
    <t xml:space="preserve">214</t>
  </si>
  <si>
    <t xml:space="preserve">Cancel button, signing in</t>
  </si>
  <si>
    <t xml:space="preserve">211</t>
  </si>
  <si>
    <t xml:space="preserve">Sign out button</t>
  </si>
  <si>
    <t xml:space="preserve">This device stops saving to the cloud and keeps its save</t>
  </si>
  <si>
    <t xml:space="preserve">No question follows the press, and this answers the worry behind it: nothing is lost.</t>
  </si>
  <si>
    <t xml:space="preserve">233</t>
  </si>
  <si>
    <t xml:space="preserve">Delete cloud account button</t>
  </si>
  <si>
    <t xml:space="preserve">Delete your cloud save, your board name and your place on the board. This device keeps its save</t>
  </si>
  <si>
    <t xml:space="preserve">The question after the press only asks 'Delete your cloud account?'. This is the list of what goes and the one thing that stays.</t>
  </si>
  <si>
    <t xml:space="preserve">236</t>
  </si>
  <si>
    <t xml:space="preserve">Reset save button</t>
  </si>
  <si>
    <t xml:space="preserve">Delete the saves and start a new game</t>
  </si>
  <si>
    <t xml:space="preserve">The question the press asks says it: 'Delete everything and start over?'</t>
  </si>
  <si>
    <t xml:space="preserve">399</t>
  </si>
  <si>
    <t xml:space="preserve">Controls and Credits screens</t>
  </si>
  <si>
    <t xml:space="preserve">Back to the settings</t>
  </si>
  <si>
    <t xml:space="preserve">443, 470</t>
  </si>
  <si>
    <t xml:space="preserve">Credits</t>
  </si>
  <si>
    <t xml:space="preserve">Link mark after a name (icon only)</t>
  </si>
  <si>
    <t xml:space="preserve">LinkedIn</t>
  </si>
  <si>
    <t xml:space="preserve">The mark is LinkedIn's own.</t>
  </si>
  <si>
    <t xml:space="preserve">478</t>
  </si>
  <si>
    <t xml:space="preserve">tests/test_ui_theme.gd:1013</t>
  </si>
  <si>
    <t xml:space="preserve">Black screen, a page open</t>
  </si>
  <si>
    <t xml:space="preserve">Back to the choice</t>
  </si>
  <si>
    <t xml:space="preserve">Scenes/UI/transcend_page.gd</t>
  </si>
  <si>
    <t xml:space="preserve">Black screen, the curse table</t>
  </si>
  <si>
    <t xml:space="preserve">246</t>
  </si>
  <si>
    <t xml:space="preserve">Black screen, the bag</t>
  </si>
  <si>
    <t xml:space="preserve">Crown or chest button (icon only)</t>
  </si>
  <si>
    <t xml:space="preserve">Your heirlooms</t>
  </si>
  <si>
    <t xml:space="preserve">A press turns the page at no cost, and the page's title says where it went.</t>
  </si>
  <si>
    <t xml:space="preserve">110</t>
  </si>
  <si>
    <t xml:space="preserve">tests/test_town_pages.gd:1276</t>
  </si>
  <si>
    <t xml:space="preserve">Black screen, the heirlooms</t>
  </si>
  <si>
    <t xml:space="preserve">369</t>
  </si>
  <si>
    <t xml:space="preserve">tests/test_town_pages.gd:1280</t>
  </si>
  <si>
    <t xml:space="preserve">'Keep which save?'</t>
  </si>
  <si>
    <t xml:space="preserve">Keep this device's button</t>
  </si>
  <si>
    <t xml:space="preserve">This device's save goes to the cloud in the other's place</t>
  </si>
  <si>
    <t xml:space="preserve">The question over the two buttons ('Keep which save?') already says only one survives.</t>
  </si>
  <si>
    <t xml:space="preserve">Scenes/UI/cloud_question.gd</t>
  </si>
  <si>
    <t xml:space="preserve">Keep the cloud's button</t>
  </si>
  <si>
    <t xml:space="preserve">The cloud's save replaces this device's</t>
  </si>
  <si>
    <t xml:space="preserve">Settings foot (debug builds)</t>
  </si>
  <si>
    <t xml:space="preserve">Developer button</t>
  </si>
  <si>
    <t xml:space="preserve">Dev: the tools a release build has none of</t>
  </si>
  <si>
    <t xml:space="preserve">395</t>
  </si>
  <si>
    <t xml:space="preserve">Developer screen</t>
  </si>
  <si>
    <t xml:space="preserve">Show all uniques tick</t>
  </si>
  <si>
    <t xml:space="preserve">The collection log draws every unique as found</t>
  </si>
  <si>
    <t xml:space="preserve">496</t>
  </si>
  <si>
    <t xml:space="preserve">Show all chests tick</t>
  </si>
  <si>
    <t xml:space="preserve">Every chest is drawn on the map, fog or not</t>
  </si>
  <si>
    <t xml:space="preserve">500</t>
  </si>
  <si>
    <t xml:space="preserve">Show old icons tick</t>
  </si>
  <si>
    <t xml:space="preserve">An item whose icon was replaced wears its old one, from the next time it is drawn</t>
  </si>
  <si>
    <t xml:space="preserve">504</t>
  </si>
  <si>
    <t xml:space="preserve">Show all services tick</t>
  </si>
  <si>
    <t xml:space="preserve">Every settlement offers every counter, from the next time one is entered</t>
  </si>
  <si>
    <t xml:space="preserve">507</t>
  </si>
  <si>
    <t xml:space="preserve">Even loot tick</t>
  </si>
  <si>
    <t xml:space="preserve">A body drops loot one time in three, every rarity from common to unique as likely, from the next fight</t>
  </si>
  <si>
    <t xml:space="preserve">511</t>
  </si>
  <si>
    <t xml:space="preserve">Unlock Banish tick</t>
  </si>
  <si>
    <t xml:space="preserve">The fortuneteller offers Banish however few uniques are unlocked, from the next time her tab is opened</t>
  </si>
  <si>
    <t xml:space="preserve">Gold x10 button</t>
  </si>
  <si>
    <t xml:space="preserve">Multiply your gold by ten</t>
  </si>
  <si>
    <t xml:space="preserve">Skill points +10 button</t>
  </si>
  <si>
    <t xml:space="preserve">Ten levels, and the ten skill points they earn</t>
  </si>
  <si>
    <t xml:space="preserve">517</t>
  </si>
  <si>
    <t xml:space="preserve">Balancing button</t>
  </si>
  <si>
    <t xml:space="preserve">Scale enemy health wall by wall</t>
  </si>
  <si>
    <t xml:space="preserve">519</t>
  </si>
  <si>
    <t xml:space="preserve">Item generator button</t>
  </si>
  <si>
    <t xml:space="preserve">Make an item to order</t>
  </si>
  <si>
    <t xml:space="preserve">521</t>
  </si>
  <si>
    <t xml:space="preserve">Back arrow</t>
  </si>
  <si>
    <t xml:space="preserve">494</t>
  </si>
  <si>
    <t xml:space="preserve">Balancing</t>
  </si>
  <si>
    <t xml:space="preserve">/10, -1, +1, x10 buttons</t>
  </si>
  <si>
    <t xml:space="preserve">Divide by 10 / Take 1 away / Add 1 / Multiply by 10</t>
  </si>
  <si>
    <t xml:space="preserve">The health figure</t>
  </si>
  <si>
    <t xml:space="preserve">The health of an ordinary body on this circle's first ring. Every body in the circle scales with it</t>
  </si>
  <si>
    <t xml:space="preserve">Back to the developer tools</t>
  </si>
  <si>
    <t xml:space="preserve">543</t>
  </si>
  <si>
    <t xml:space="preserve">Item generator</t>
  </si>
  <si>
    <t xml:space="preserve">Arrows either side of the kind</t>
  </si>
  <si>
    <t xml:space="preserve">Previous kind / Next kind</t>
  </si>
  <si>
    <t xml:space="preserve">Scenes/UI/item_generator.gd</t>
  </si>
  <si>
    <t xml:space="preserve">An orb in its tray</t>
  </si>
  <si>
    <t xml:space="preserve">%s: %s (the orb's name, then its description or why it is grey)</t>
  </si>
  <si>
    <t xml:space="preserve">158</t>
  </si>
  <si>
    <t xml:space="preserve">Add to bag, greyed</t>
  </si>
  <si>
    <t xml:space="preserve">161</t>
  </si>
  <si>
    <t xml:space="preserve">Habit</t>
  </si>
  <si>
    <t xml:space="preserve">What to do</t>
  </si>
  <si>
    <t xml:space="preserve">The rule this pass keeps a tooltip by</t>
  </si>
  <si>
    <t xml:space="preserve">A tooltip stays only if the player needs it and the screen cannot say it. Four things earn one: a picture that does not say what the control does; a rule, cost or consequence needed before the press; the reason for a dead button when the cause is not on screen; the only explanation of a thing (an orb, a spell, an attribute).</t>
  </si>
  <si>
    <t xml:space="preserve">Everything else is cut. The counts are on the About sheet, and Verdict filters the list.</t>
  </si>
  <si>
    <t xml:space="preserve">What the cuts are made of</t>
  </si>
  <si>
    <t xml:space="preserve">Every X ('Close the ...'). Every arrow ('Back to ...'), by your own ruling on the banishing's arrow. Every button that has its word and its price on it (Buy, Sell, Unequip, Accept, Retry). Tabs whose mark a press explains at once (the bag's nine, the town's five). 'Not enough gold', by your ruling on Banish. Lines the question after the press says again (Reset save, Make heirloom, 'Keep which save?'). Breakdowns nothing is decided by (Base, Gear, Bare hands, Reached).</t>
  </si>
  <si>
    <t xml:space="preserve">Filter Verdict = Cut.</t>
  </si>
  <si>
    <t xml:space="preserve">The corner row is split, and you may not want it split</t>
  </si>
  <si>
    <t xml:space="preserve">Read one at a time, four of the nine need their word (star, scroll, book, crown) and five do not (chest, cog, trophy, podium, the portrait). But the card is also where each page's key is shown, and a row where some buttons answer the mouse and some do not reads as broken.</t>
  </si>
  <si>
    <t xml:space="preserve">Either follow the verdicts, or keep all nine for the key's sake. Not a middle road.</t>
  </si>
  <si>
    <t xml:space="preserve">Cutting a tooltip can break something that reads it</t>
  </si>
  <si>
    <t xml:space="preserve">The Controls screen builds its list from the corner buttons' tooltips. The level heading's question is its tooltip with a question mark. About thirty lines in tests/ find a button by its tooltip or check its words.</t>
  </si>
  <si>
    <t xml:space="preserve">The Read by column names what reads each row. A cut button needs a node name for its test, as the banishing's Back got on 2026-10-10.</t>
  </si>
  <si>
    <t xml:space="preserve">Nine tooltips are dead text</t>
  </si>
  <si>
    <t xml:space="preserve">Every item square ignores the mouse so the grid under it can be dragged, and the tip card only reads what the mouse is on. So the socket names, 'takes both hands', a bounty's promised piece and 'Bought. Restock fills the shelf again' are never seen, nor is the save error panel's 'Quit', built before the tip card exists.</t>
  </si>
  <si>
    <t xml:space="preserve">None is needed: the picture, the frame or the item card says each. Filter Kind = Never shown.</t>
  </si>
  <si>
    <t xml:space="preserve">Half of what is kept needs new words</t>
  </si>
  <si>
    <t xml:space="preserve">Transmutation and Alchemy lower a rarer item and do not say so. Augmentation says 'at any rarity' and refuses a common item. The smith's Lock picks its modifier at random and says only 'Pin one of its modifiers'. Never sell is explained in the names of two icons. No rune card says how long its work lasts.</t>
  </si>
  <si>
    <t xml:space="preserve">These are the ones to spend the time on: each is the only explanation of something the player cannot undo. Filter Verdict = Reword.</t>
  </si>
  <si>
    <t xml:space="preserve">A dead button needs its reason only when the cause is off screen</t>
  </si>
  <si>
    <t xml:space="preserve">Needed: Chart and Farm under a full bag, Claim on a full bag, Equip short of an attribute, Accept while a bounty is out, the smith's level limit, every spell. Not needed: a short purse beside a price, Unequip on a full bag with the count beside it, the smith on a piece that says Broken, Sell beside a lit Never sell.</t>
  </si>
  <si>
    <t xml:space="preserve">Three dead buttons still say nothing and should: the skill tree's Reset, the leaderboard's Choose name under three letters, and Make heirloom, which states the fact and not the rule.</t>
  </si>
  <si>
    <t xml:space="preserve">One thing, several words</t>
  </si>
  <si>
    <t xml:space="preserve">Lock (the button), pin (its tooltip), bind (the super orb) and Never sell (the padlock). 'Spent here' and 'Already bought here' for the same once-a-town rule. 'Turned up' and 'found' for loot. 'Out of the fog' for reveal.</t>
  </si>
  <si>
    <t xml:space="preserve">Pick one word for each and use it on the button and in its tooltip alike.</t>
  </si>
  <si>
    <t xml:space="preserve">Words the player has never been given</t>
  </si>
  <si>
    <t xml:space="preserve">'Sell all' and 'the bin' are icons with no name on screen. 'The drop pool', 'reroll', 'tier', 'ascended', 'a skull for your curses'.</t>
  </si>
  <si>
    <t xml:space="preserve">Describe the thing in the tooltip ('when a whole level is sold or discarded') rather than name it.</t>
  </si>
  <si>
    <t xml:space="preserve">Where a tooltip is owed and missing</t>
  </si>
  <si>
    <t xml:space="preserve">The character page's rows say when a number is capped and never what the stat does: Recoup, Time on Hit, Bleed and most of the others have nothing. Under this pass's own rule they are owed one.</t>
  </si>
  <si>
    <t xml:space="preserve">The Armour and Dodge rows show the way: one short line that turns the stat into what happens in a fight.</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</si>
</sst>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3B2A1E"/>
        <bgColor rgb="FF333300"/>
      </patternFill>
    </fill>
  </fills>
  <borders count="2">
    <border diagonalUp="false" diagonalDown="false">
      <left/>
      <right/>
      <top/>
      <bottom/>
      <diagonal/>
    </border>
    <border diagonalUp="false" diagonalDown="false">
      <left/>
      <right/>
      <top/>
      <bottom style="thin">
        <color rgb="FFD9D2C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3B2A1E"/>
          <bgColor rgb="FF000000"/>
        </patternFill>
      </fill>
    </dxf>
    <dxf>
      <fill>
        <patternFill patternType="solid">
          <bgColor rgb="FF000000"/>
        </patternFill>
      </fill>
    </dxf>
    <dxf>
      <fill>
        <patternFill patternType="solid">
          <fgColor rgb="FFFFFFFF"/>
          <bgColor rgb="FF000000"/>
        </patternFill>
      </fill>
    </dxf>
    <dxf>
      <fill>
        <patternFill patternType="solid">
          <fgColor rgb="FFCFE8CF"/>
          <bgColor rgb="FF000000"/>
        </patternFill>
      </fill>
    </dxf>
    <dxf>
      <fill>
        <patternFill patternType="solid">
          <fgColor rgb="FFF4C7C3"/>
          <bgColor rgb="FF000000"/>
        </patternFill>
      </fill>
    </dxf>
    <dxf>
      <fill>
        <patternFill patternType="solid">
          <fgColor rgb="FFFCE8B2"/>
          <bgColor rgb="FF000000"/>
        </patternFill>
      </fill>
    </dxf>
    <dxf>
      <fill>
        <patternFill>
          <bgColor rgb="FFF4C7C3"/>
        </patternFill>
      </fill>
    </dxf>
    <dxf>
      <fill>
        <patternFill>
          <bgColor rgb="FFFCE8B2"/>
        </patternFill>
      </fill>
    </dxf>
    <dxf>
      <fill>
        <patternFill>
          <bgColor rgb="FFCFE8C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2C5"/>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FE8CF"/>
      <rgbColor rgb="FFFCE8B2"/>
      <rgbColor rgb="FF99CCFF"/>
      <rgbColor rgb="FFFF99CC"/>
      <rgbColor rgb="FFCC99FF"/>
      <rgbColor rgb="FFF4C7C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B2A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20"/>
  </cols>
  <sheetData>
    <row r="1" customFormat="false" ht="17.35" hidden="false" customHeight="false" outlineLevel="0" collapsed="false">
      <c r="A1" s="1" t="s">
        <v>0</v>
      </c>
      <c r="B1" s="2"/>
    </row>
    <row r="2" customFormat="false" ht="15" hidden="false" customHeight="false" outlineLevel="0" collapsed="false">
      <c r="A2" s="3" t="s">
        <v>1</v>
      </c>
      <c r="B2" s="2" t="s">
        <v>2</v>
      </c>
    </row>
    <row r="3" customFormat="false" ht="15" hidden="false" customHeight="false" outlineLevel="0" collapsed="false">
      <c r="A3" s="3"/>
      <c r="B3" s="2"/>
    </row>
    <row r="4" customFormat="false" ht="15" hidden="false" customHeight="false" outlineLevel="0" collapsed="false">
      <c r="A4" s="3" t="s">
        <v>3</v>
      </c>
      <c r="B4" s="2"/>
    </row>
    <row r="5" customFormat="false" ht="23.85" hidden="false" customHeight="false" outlineLevel="0" collapsed="false">
      <c r="A5" s="3" t="s">
        <v>4</v>
      </c>
      <c r="B5" s="2" t="s">
        <v>5</v>
      </c>
    </row>
    <row r="6" customFormat="false" ht="15" hidden="false" customHeight="false" outlineLevel="0" collapsed="false">
      <c r="A6" s="3" t="s">
        <v>6</v>
      </c>
      <c r="B6" s="2" t="s">
        <v>7</v>
      </c>
    </row>
    <row r="7" customFormat="false" ht="15" hidden="false" customHeight="false" outlineLevel="0" collapsed="false">
      <c r="A7" s="3" t="s">
        <v>8</v>
      </c>
      <c r="B7" s="2" t="s">
        <v>9</v>
      </c>
    </row>
    <row r="8" customFormat="false" ht="15" hidden="false" customHeight="false" outlineLevel="0" collapsed="false">
      <c r="A8" s="3"/>
      <c r="B8" s="2"/>
    </row>
    <row r="9" customFormat="false" ht="15" hidden="false" customHeight="false" outlineLevel="0" collapsed="false">
      <c r="A9" s="3" t="s">
        <v>10</v>
      </c>
      <c r="B9" s="2"/>
    </row>
    <row r="10" customFormat="false" ht="15" hidden="false" customHeight="false" outlineLevel="0" collapsed="false">
      <c r="A10" s="3" t="s">
        <v>11</v>
      </c>
      <c r="B10" s="2" t="n">
        <f aca="false">COUNTA(Tooltips!F2:F217)</f>
        <v>216</v>
      </c>
    </row>
    <row r="11" customFormat="false" ht="15" hidden="false" customHeight="false" outlineLevel="0" collapsed="false">
      <c r="A11" s="3" t="s">
        <v>12</v>
      </c>
      <c r="B11" s="2" t="n">
        <f aca="false">COUNTIF(Tooltips!K2:K217,"Keep")</f>
        <v>45</v>
      </c>
    </row>
    <row r="12" customFormat="false" ht="15" hidden="false" customHeight="false" outlineLevel="0" collapsed="false">
      <c r="A12" s="3" t="s">
        <v>13</v>
      </c>
      <c r="B12" s="2" t="n">
        <f aca="false">COUNTIF(Tooltips!K2:K217,"Reword")</f>
        <v>43</v>
      </c>
    </row>
    <row r="13" customFormat="false" ht="15" hidden="false" customHeight="false" outlineLevel="0" collapsed="false">
      <c r="A13" s="3" t="s">
        <v>14</v>
      </c>
      <c r="B13" s="2" t="n">
        <f aca="false">COUNTIF(Tooltips!K2:K217,"Cut")</f>
        <v>128</v>
      </c>
    </row>
    <row r="14" customFormat="false" ht="15" hidden="false" customHeight="false" outlineLevel="0" collapsed="false">
      <c r="A14" s="3" t="s">
        <v>15</v>
      </c>
      <c r="B14" s="2" t="n">
        <f aca="false">ROUND((COUNTIF(Tooltips!K2:K217,"Keep")+COUNTIF(Tooltips!K2:K217,"Reword"))/COUNTA(Tooltips!F2:F217),2)</f>
        <v>0.41</v>
      </c>
    </row>
    <row r="15" customFormat="false" ht="15" hidden="false" customHeight="false" outlineLevel="0" collapsed="false">
      <c r="A15" s="3" t="s">
        <v>16</v>
      </c>
      <c r="B15" s="2" t="n">
        <f aca="false">COUNTIFS(Tooltips!J2:J217,"&gt;=4",Tooltips!I2:I217,"&lt;=3")</f>
        <v>32</v>
      </c>
    </row>
    <row r="16" customFormat="false" ht="15" hidden="false" customHeight="false" outlineLevel="0" collapsed="false">
      <c r="A16" s="3" t="s">
        <v>17</v>
      </c>
      <c r="B16" s="2" t="n">
        <f aca="false">ROUND(AVERAGE(Tooltips!I2:I217),1)</f>
        <v>4.2</v>
      </c>
    </row>
    <row r="17" customFormat="false" ht="15" hidden="false" customHeight="false" outlineLevel="0" collapsed="false">
      <c r="A17" s="3" t="s">
        <v>18</v>
      </c>
      <c r="B17" s="2" t="n">
        <f aca="false">ROUND(AVERAGE(Tooltips!J2:J217),1)</f>
        <v>3.2</v>
      </c>
    </row>
    <row r="18" customFormat="false" ht="23.85" hidden="false" customHeight="false" outlineLevel="0" collapsed="false">
      <c r="A18" s="3" t="s">
        <v>19</v>
      </c>
      <c r="B18" s="2" t="n">
        <f aca="false">COUNTIF(Tooltips!E2:E217,"Never shown")</f>
        <v>9</v>
      </c>
    </row>
    <row r="19" customFormat="false" ht="15" hidden="false" customHeight="false" outlineLevel="0" collapsed="false">
      <c r="A19" s="3"/>
      <c r="B19" s="2"/>
    </row>
    <row r="20" customFormat="false" ht="15" hidden="false" customHeight="false" outlineLevel="0" collapsed="false">
      <c r="A20" s="3" t="s">
        <v>20</v>
      </c>
      <c r="B20" s="2" t="s">
        <v>21</v>
      </c>
    </row>
    <row r="21" customFormat="false" ht="15" hidden="false" customHeight="false" outlineLevel="0" collapsed="false">
      <c r="A21" s="3"/>
      <c r="B21" s="2"/>
    </row>
    <row r="22" customFormat="false" ht="15" hidden="false" customHeight="false" outlineLevel="0" collapsed="false">
      <c r="A22" s="3" t="s">
        <v>22</v>
      </c>
      <c r="B22" s="2" t="s">
        <v>23</v>
      </c>
    </row>
    <row r="23" customFormat="false" ht="15" hidden="false" customHeight="false" outlineLevel="0" collapsed="false">
      <c r="A23" s="3" t="s">
        <v>24</v>
      </c>
      <c r="B23" s="2" t="s">
        <v>25</v>
      </c>
    </row>
    <row r="24" customFormat="false" ht="15" hidden="false" customHeight="false" outlineLevel="0" collapsed="false">
      <c r="A24" s="3" t="s">
        <v>26</v>
      </c>
      <c r="B24" s="2" t="s">
        <v>27</v>
      </c>
    </row>
    <row r="25" customFormat="false" ht="15" hidden="false" customHeight="false" outlineLevel="0" collapsed="false">
      <c r="A25" s="3" t="s">
        <v>28</v>
      </c>
      <c r="B25" s="2" t="s">
        <v>29</v>
      </c>
    </row>
    <row r="26" customFormat="false" ht="15" hidden="false" customHeight="false" outlineLevel="0" collapsed="false">
      <c r="A26" s="3" t="s">
        <v>30</v>
      </c>
      <c r="B26" s="2" t="s">
        <v>31</v>
      </c>
    </row>
    <row r="27" customFormat="false" ht="15" hidden="false" customHeight="false" outlineLevel="0" collapsed="false">
      <c r="A27" s="3" t="s">
        <v>32</v>
      </c>
      <c r="B27" s="2" t="s">
        <v>33</v>
      </c>
    </row>
    <row r="28" customFormat="false" ht="15" hidden="false" customHeight="false" outlineLevel="0" collapsed="false">
      <c r="A28" s="3"/>
      <c r="B28" s="2"/>
    </row>
    <row r="29" customFormat="false" ht="15" hidden="false" customHeight="false" outlineLevel="0" collapsed="false">
      <c r="A29" s="3" t="s">
        <v>34</v>
      </c>
      <c r="B29" s="2" t="s">
        <v>35</v>
      </c>
    </row>
    <row r="30" customFormat="false" ht="15" hidden="false" customHeight="false" outlineLevel="0" collapsed="false">
      <c r="A30" s="3" t="s">
        <v>24</v>
      </c>
      <c r="B30" s="2" t="s">
        <v>36</v>
      </c>
    </row>
    <row r="31" customFormat="false" ht="15" hidden="false" customHeight="false" outlineLevel="0" collapsed="false">
      <c r="A31" s="3" t="s">
        <v>26</v>
      </c>
      <c r="B31" s="2" t="s">
        <v>37</v>
      </c>
    </row>
    <row r="32" customFormat="false" ht="15" hidden="false" customHeight="false" outlineLevel="0" collapsed="false">
      <c r="A32" s="3" t="s">
        <v>28</v>
      </c>
      <c r="B32" s="2" t="s">
        <v>38</v>
      </c>
    </row>
    <row r="33" customFormat="false" ht="15" hidden="false" customHeight="false" outlineLevel="0" collapsed="false">
      <c r="A33" s="3" t="s">
        <v>30</v>
      </c>
      <c r="B33" s="2" t="s">
        <v>39</v>
      </c>
    </row>
    <row r="34" customFormat="false" ht="15" hidden="false" customHeight="false" outlineLevel="0" collapsed="false">
      <c r="A34" s="3" t="s">
        <v>32</v>
      </c>
      <c r="B34" s="2" t="s">
        <v>40</v>
      </c>
    </row>
    <row r="35" customFormat="false" ht="15" hidden="false" customHeight="false" outlineLevel="0" collapsed="false">
      <c r="A35" s="3"/>
      <c r="B35" s="2"/>
    </row>
    <row r="36" customFormat="false" ht="15" hidden="false" customHeight="false" outlineLevel="0" collapsed="false">
      <c r="A36" s="3" t="s">
        <v>41</v>
      </c>
      <c r="B36" s="2"/>
    </row>
    <row r="37" customFormat="false" ht="15" hidden="false" customHeight="false" outlineLevel="0" collapsed="false">
      <c r="A37" s="3" t="s">
        <v>12</v>
      </c>
      <c r="B37" s="2" t="s">
        <v>42</v>
      </c>
    </row>
    <row r="38" customFormat="false" ht="15" hidden="false" customHeight="false" outlineLevel="0" collapsed="false">
      <c r="A38" s="3" t="s">
        <v>43</v>
      </c>
      <c r="B38" s="2" t="s">
        <v>44</v>
      </c>
    </row>
    <row r="39" customFormat="false" ht="15" hidden="false" customHeight="false" outlineLevel="0" collapsed="false">
      <c r="A39" s="3" t="s">
        <v>14</v>
      </c>
      <c r="B39" s="2" t="s">
        <v>45</v>
      </c>
    </row>
    <row r="40" customFormat="false" ht="15" hidden="false" customHeight="false" outlineLevel="0" collapsed="false">
      <c r="A40" s="3"/>
      <c r="B40" s="2"/>
    </row>
    <row r="41" customFormat="false" ht="15" hidden="false" customHeight="false" outlineLevel="0" collapsed="false">
      <c r="A41" s="3" t="s">
        <v>46</v>
      </c>
      <c r="B41" s="2"/>
    </row>
    <row r="42" customFormat="false" ht="23.85" hidden="false" customHeight="false" outlineLevel="0" collapsed="false">
      <c r="A42" s="3" t="s">
        <v>47</v>
      </c>
      <c r="B42" s="2" t="s">
        <v>48</v>
      </c>
    </row>
    <row r="43" customFormat="false" ht="15" hidden="false" customHeight="false" outlineLevel="0" collapsed="false">
      <c r="A43" s="3" t="s">
        <v>49</v>
      </c>
      <c r="B43" s="2" t="s">
        <v>50</v>
      </c>
    </row>
    <row r="44" customFormat="false" ht="15" hidden="false" customHeight="false" outlineLevel="0" collapsed="false">
      <c r="A44" s="3" t="s">
        <v>51</v>
      </c>
      <c r="B44" s="2" t="s">
        <v>52</v>
      </c>
    </row>
    <row r="45" customFormat="false" ht="15" hidden="false" customHeight="false" outlineLevel="0" collapsed="false">
      <c r="A45" s="3" t="s">
        <v>53</v>
      </c>
      <c r="B45" s="2" t="s">
        <v>54</v>
      </c>
    </row>
    <row r="46" customFormat="false" ht="23.85" hidden="false" customHeight="false" outlineLevel="0" collapsed="false">
      <c r="A46" s="3" t="s">
        <v>55</v>
      </c>
      <c r="B46" s="2" t="s">
        <v>56</v>
      </c>
    </row>
    <row r="47" customFormat="false" ht="15" hidden="false" customHeight="false" outlineLevel="0" collapsed="false">
      <c r="A47" s="3" t="s">
        <v>57</v>
      </c>
      <c r="B47" s="2" t="s">
        <v>58</v>
      </c>
    </row>
    <row r="48" customFormat="false" ht="15" hidden="false" customHeight="false" outlineLevel="0" collapsed="false">
      <c r="A48" s="3"/>
      <c r="B48" s="2"/>
    </row>
    <row r="49" customFormat="false" ht="23.85" hidden="false" customHeight="false" outlineLevel="0" collapsed="false">
      <c r="A49" s="3" t="s">
        <v>59</v>
      </c>
      <c r="B49" s="2" t="s">
        <v>60</v>
      </c>
    </row>
    <row r="50" customFormat="false" ht="23.85" hidden="false" customHeight="false" outlineLevel="0" collapsed="false">
      <c r="A50" s="3" t="s">
        <v>61</v>
      </c>
      <c r="B50" s="2" t="s">
        <v>62</v>
      </c>
    </row>
    <row r="51" customFormat="false" ht="23.85" hidden="false" customHeight="false" outlineLevel="0" collapsed="false">
      <c r="A51" s="3" t="s">
        <v>63</v>
      </c>
      <c r="B51" s="2" t="s">
        <v>64</v>
      </c>
    </row>
    <row r="52" customFormat="false" ht="15" hidden="false" customHeight="false" outlineLevel="0" collapsed="false">
      <c r="A52" s="3" t="s">
        <v>65</v>
      </c>
      <c r="B52" s="2" t="s">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26"/>
    <col collapsed="false" customWidth="true" hidden="false" outlineLevel="0" max="4" min="4" style="0" width="28"/>
    <col collapsed="false" customWidth="true" hidden="false" outlineLevel="0" max="5" min="5" style="0" width="16"/>
    <col collapsed="false" customWidth="true" hidden="false" outlineLevel="0" max="6" min="6" style="0" width="46"/>
    <col collapsed="false" customWidth="true" hidden="false" outlineLevel="0" max="7" min="7" style="0" width="34"/>
    <col collapsed="false" customWidth="true" hidden="false" outlineLevel="0" max="8" min="8" style="0" width="8"/>
    <col collapsed="false" customWidth="true" hidden="false" outlineLevel="0" max="10" min="9" style="0" width="10"/>
    <col collapsed="false" customWidth="true" hidden="false" outlineLevel="0" max="11" min="11" style="0" width="12"/>
    <col collapsed="false" customWidth="true" hidden="false" outlineLevel="0" max="12" min="12" style="0" width="60"/>
    <col collapsed="false" customWidth="true" hidden="false" outlineLevel="0" max="13" min="13" style="0" width="46"/>
    <col collapsed="false" customWidth="true" hidden="false" outlineLevel="0" max="14" min="14" style="0" width="30"/>
    <col collapsed="false" customWidth="true" hidden="false" outlineLevel="0" max="15" min="15" style="0" width="12"/>
    <col collapsed="false" customWidth="true" hidden="false" outlineLevel="0" max="16" min="16" style="0" width="40"/>
  </cols>
  <sheetData>
    <row r="1" customFormat="false" ht="30" hidden="false" customHeight="true" outlineLevel="0" collapsed="false">
      <c r="A1" s="4" t="s">
        <v>67</v>
      </c>
      <c r="B1" s="4" t="s">
        <v>68</v>
      </c>
      <c r="C1" s="4" t="s">
        <v>69</v>
      </c>
      <c r="D1" s="4" t="s">
        <v>70</v>
      </c>
      <c r="E1" s="4" t="s">
        <v>47</v>
      </c>
      <c r="F1" s="4" t="s">
        <v>49</v>
      </c>
      <c r="G1" s="4" t="s">
        <v>51</v>
      </c>
      <c r="H1" s="4" t="s">
        <v>71</v>
      </c>
      <c r="I1" s="4" t="s">
        <v>34</v>
      </c>
      <c r="J1" s="4" t="s">
        <v>22</v>
      </c>
      <c r="K1" s="4" t="s">
        <v>41</v>
      </c>
      <c r="L1" s="4" t="s">
        <v>72</v>
      </c>
      <c r="M1" s="4" t="s">
        <v>53</v>
      </c>
      <c r="N1" s="4" t="s">
        <v>73</v>
      </c>
      <c r="O1" s="4" t="s">
        <v>57</v>
      </c>
      <c r="P1" s="4" t="s">
        <v>55</v>
      </c>
    </row>
    <row r="2" customFormat="false" ht="23.85" hidden="false" customHeight="false" outlineLevel="0" collapsed="false">
      <c r="A2" s="5" t="n">
        <v>1</v>
      </c>
      <c r="B2" s="6" t="s">
        <v>74</v>
      </c>
      <c r="C2" s="6" t="s">
        <v>75</v>
      </c>
      <c r="D2" s="6" t="s">
        <v>76</v>
      </c>
      <c r="E2" s="6" t="s">
        <v>77</v>
      </c>
      <c r="F2" s="6" t="s">
        <v>78</v>
      </c>
      <c r="G2" s="6"/>
      <c r="H2" s="5" t="n">
        <f aca="false">LEN(F2)</f>
        <v>10</v>
      </c>
      <c r="I2" s="5" t="n">
        <v>5</v>
      </c>
      <c r="J2" s="5" t="n">
        <v>4</v>
      </c>
      <c r="K2" s="6" t="s">
        <v>12</v>
      </c>
      <c r="L2" s="6" t="s">
        <v>79</v>
      </c>
      <c r="M2" s="6"/>
      <c r="N2" s="6" t="s">
        <v>80</v>
      </c>
      <c r="O2" s="6" t="s">
        <v>81</v>
      </c>
      <c r="P2" s="6" t="s">
        <v>82</v>
      </c>
    </row>
    <row r="3" customFormat="false" ht="46.25" hidden="false" customHeight="false" outlineLevel="0" collapsed="false">
      <c r="A3" s="5" t="n">
        <v>2</v>
      </c>
      <c r="B3" s="6" t="s">
        <v>74</v>
      </c>
      <c r="C3" s="6" t="s">
        <v>75</v>
      </c>
      <c r="D3" s="6" t="s">
        <v>83</v>
      </c>
      <c r="E3" s="6" t="s">
        <v>77</v>
      </c>
      <c r="F3" s="6" t="s">
        <v>84</v>
      </c>
      <c r="G3" s="6"/>
      <c r="H3" s="5" t="n">
        <f aca="false">LEN(F3)</f>
        <v>5</v>
      </c>
      <c r="I3" s="5" t="n">
        <v>5</v>
      </c>
      <c r="J3" s="5" t="n">
        <v>3</v>
      </c>
      <c r="K3" s="6" t="s">
        <v>14</v>
      </c>
      <c r="L3" s="6" t="s">
        <v>85</v>
      </c>
      <c r="M3" s="6"/>
      <c r="N3" s="6" t="s">
        <v>80</v>
      </c>
      <c r="O3" s="6" t="s">
        <v>86</v>
      </c>
      <c r="P3" s="6" t="s">
        <v>82</v>
      </c>
    </row>
    <row r="4" customFormat="false" ht="23.85" hidden="false" customHeight="false" outlineLevel="0" collapsed="false">
      <c r="A4" s="5" t="n">
        <v>3</v>
      </c>
      <c r="B4" s="6" t="s">
        <v>74</v>
      </c>
      <c r="C4" s="6" t="s">
        <v>75</v>
      </c>
      <c r="D4" s="6" t="s">
        <v>87</v>
      </c>
      <c r="E4" s="6" t="s">
        <v>77</v>
      </c>
      <c r="F4" s="6" t="s">
        <v>88</v>
      </c>
      <c r="G4" s="6"/>
      <c r="H4" s="5" t="n">
        <f aca="false">LEN(F4)</f>
        <v>8</v>
      </c>
      <c r="I4" s="5" t="n">
        <v>5</v>
      </c>
      <c r="J4" s="5" t="n">
        <v>4</v>
      </c>
      <c r="K4" s="6" t="s">
        <v>12</v>
      </c>
      <c r="L4" s="6" t="s">
        <v>89</v>
      </c>
      <c r="M4" s="6"/>
      <c r="N4" s="6" t="s">
        <v>80</v>
      </c>
      <c r="O4" s="6" t="s">
        <v>90</v>
      </c>
      <c r="P4" s="6" t="s">
        <v>82</v>
      </c>
    </row>
    <row r="5" customFormat="false" ht="35.05" hidden="false" customHeight="false" outlineLevel="0" collapsed="false">
      <c r="A5" s="5" t="n">
        <v>4</v>
      </c>
      <c r="B5" s="6" t="s">
        <v>74</v>
      </c>
      <c r="C5" s="6" t="s">
        <v>75</v>
      </c>
      <c r="D5" s="6" t="s">
        <v>91</v>
      </c>
      <c r="E5" s="6" t="s">
        <v>77</v>
      </c>
      <c r="F5" s="6" t="s">
        <v>92</v>
      </c>
      <c r="G5" s="6"/>
      <c r="H5" s="5" t="n">
        <f aca="false">LEN(F5)</f>
        <v>8</v>
      </c>
      <c r="I5" s="5" t="n">
        <v>5</v>
      </c>
      <c r="J5" s="5" t="n">
        <v>2</v>
      </c>
      <c r="K5" s="6" t="s">
        <v>14</v>
      </c>
      <c r="L5" s="6" t="s">
        <v>93</v>
      </c>
      <c r="M5" s="6"/>
      <c r="N5" s="6" t="s">
        <v>80</v>
      </c>
      <c r="O5" s="6" t="s">
        <v>94</v>
      </c>
      <c r="P5" s="6" t="s">
        <v>82</v>
      </c>
    </row>
    <row r="6" customFormat="false" ht="23.85" hidden="false" customHeight="false" outlineLevel="0" collapsed="false">
      <c r="A6" s="5" t="n">
        <v>5</v>
      </c>
      <c r="B6" s="6" t="s">
        <v>74</v>
      </c>
      <c r="C6" s="6" t="s">
        <v>75</v>
      </c>
      <c r="D6" s="6" t="s">
        <v>95</v>
      </c>
      <c r="E6" s="6" t="s">
        <v>77</v>
      </c>
      <c r="F6" s="6" t="s">
        <v>96</v>
      </c>
      <c r="G6" s="6"/>
      <c r="H6" s="5" t="n">
        <f aca="false">LEN(F6)</f>
        <v>10</v>
      </c>
      <c r="I6" s="5" t="n">
        <v>4</v>
      </c>
      <c r="J6" s="5" t="n">
        <v>4</v>
      </c>
      <c r="K6" s="6" t="s">
        <v>12</v>
      </c>
      <c r="L6" s="6" t="s">
        <v>97</v>
      </c>
      <c r="M6" s="6"/>
      <c r="N6" s="6" t="s">
        <v>80</v>
      </c>
      <c r="O6" s="6" t="s">
        <v>98</v>
      </c>
      <c r="P6" s="6" t="s">
        <v>82</v>
      </c>
    </row>
    <row r="7" customFormat="false" ht="35.05" hidden="false" customHeight="false" outlineLevel="0" collapsed="false">
      <c r="A7" s="5" t="n">
        <v>6</v>
      </c>
      <c r="B7" s="6" t="s">
        <v>74</v>
      </c>
      <c r="C7" s="6" t="s">
        <v>75</v>
      </c>
      <c r="D7" s="6" t="s">
        <v>99</v>
      </c>
      <c r="E7" s="6" t="s">
        <v>77</v>
      </c>
      <c r="F7" s="6" t="s">
        <v>100</v>
      </c>
      <c r="G7" s="6"/>
      <c r="H7" s="5" t="n">
        <f aca="false">LEN(F7)</f>
        <v>12</v>
      </c>
      <c r="I7" s="5" t="n">
        <v>5</v>
      </c>
      <c r="J7" s="5" t="n">
        <v>3</v>
      </c>
      <c r="K7" s="6" t="s">
        <v>14</v>
      </c>
      <c r="L7" s="6" t="s">
        <v>101</v>
      </c>
      <c r="M7" s="6"/>
      <c r="N7" s="6" t="s">
        <v>80</v>
      </c>
      <c r="O7" s="6" t="s">
        <v>102</v>
      </c>
      <c r="P7" s="6" t="s">
        <v>82</v>
      </c>
    </row>
    <row r="8" customFormat="false" ht="35.05" hidden="false" customHeight="false" outlineLevel="0" collapsed="false">
      <c r="A8" s="5" t="n">
        <v>7</v>
      </c>
      <c r="B8" s="6" t="s">
        <v>74</v>
      </c>
      <c r="C8" s="6" t="s">
        <v>75</v>
      </c>
      <c r="D8" s="6" t="s">
        <v>103</v>
      </c>
      <c r="E8" s="6" t="s">
        <v>77</v>
      </c>
      <c r="F8" s="6" t="s">
        <v>104</v>
      </c>
      <c r="G8" s="6"/>
      <c r="H8" s="5" t="n">
        <f aca="false">LEN(F8)</f>
        <v>11</v>
      </c>
      <c r="I8" s="5" t="n">
        <v>5</v>
      </c>
      <c r="J8" s="5" t="n">
        <v>3</v>
      </c>
      <c r="K8" s="6" t="s">
        <v>14</v>
      </c>
      <c r="L8" s="6" t="s">
        <v>105</v>
      </c>
      <c r="M8" s="6"/>
      <c r="N8" s="6" t="s">
        <v>80</v>
      </c>
      <c r="O8" s="6" t="s">
        <v>106</v>
      </c>
      <c r="P8" s="6" t="s">
        <v>82</v>
      </c>
    </row>
    <row r="9" customFormat="false" ht="23.85" hidden="false" customHeight="false" outlineLevel="0" collapsed="false">
      <c r="A9" s="5" t="n">
        <v>8</v>
      </c>
      <c r="B9" s="6" t="s">
        <v>74</v>
      </c>
      <c r="C9" s="6" t="s">
        <v>75</v>
      </c>
      <c r="D9" s="6" t="s">
        <v>107</v>
      </c>
      <c r="E9" s="6" t="s">
        <v>77</v>
      </c>
      <c r="F9" s="6" t="s">
        <v>108</v>
      </c>
      <c r="G9" s="6"/>
      <c r="H9" s="5" t="n">
        <f aca="false">LEN(F9)</f>
        <v>9</v>
      </c>
      <c r="I9" s="5" t="n">
        <v>4</v>
      </c>
      <c r="J9" s="5" t="n">
        <v>4</v>
      </c>
      <c r="K9" s="6" t="s">
        <v>12</v>
      </c>
      <c r="L9" s="6" t="s">
        <v>109</v>
      </c>
      <c r="M9" s="6"/>
      <c r="N9" s="6" t="s">
        <v>80</v>
      </c>
      <c r="O9" s="6" t="s">
        <v>110</v>
      </c>
      <c r="P9" s="6" t="s">
        <v>82</v>
      </c>
    </row>
    <row r="10" customFormat="false" ht="46.25" hidden="false" customHeight="false" outlineLevel="0" collapsed="false">
      <c r="A10" s="5" t="n">
        <v>9</v>
      </c>
      <c r="B10" s="6" t="s">
        <v>74</v>
      </c>
      <c r="C10" s="6" t="s">
        <v>111</v>
      </c>
      <c r="D10" s="6" t="s">
        <v>112</v>
      </c>
      <c r="E10" s="6" t="s">
        <v>77</v>
      </c>
      <c r="F10" s="6" t="s">
        <v>113</v>
      </c>
      <c r="G10" s="6"/>
      <c r="H10" s="5" t="n">
        <f aca="false">LEN(F10)</f>
        <v>9</v>
      </c>
      <c r="I10" s="5" t="n">
        <v>5</v>
      </c>
      <c r="J10" s="5" t="n">
        <v>3</v>
      </c>
      <c r="K10" s="6" t="s">
        <v>14</v>
      </c>
      <c r="L10" s="6" t="s">
        <v>114</v>
      </c>
      <c r="M10" s="6"/>
      <c r="N10" s="6" t="s">
        <v>80</v>
      </c>
      <c r="O10" s="6" t="s">
        <v>115</v>
      </c>
      <c r="P10" s="6" t="s">
        <v>82</v>
      </c>
    </row>
    <row r="11" customFormat="false" ht="23.85" hidden="false" customHeight="false" outlineLevel="0" collapsed="false">
      <c r="A11" s="5" t="n">
        <v>10</v>
      </c>
      <c r="B11" s="6" t="s">
        <v>74</v>
      </c>
      <c r="C11" s="6" t="s">
        <v>111</v>
      </c>
      <c r="D11" s="6" t="s">
        <v>116</v>
      </c>
      <c r="E11" s="6" t="s">
        <v>77</v>
      </c>
      <c r="F11" s="6" t="s">
        <v>117</v>
      </c>
      <c r="G11" s="6" t="s">
        <v>118</v>
      </c>
      <c r="H11" s="5" t="n">
        <f aca="false">LEN(F11)</f>
        <v>10</v>
      </c>
      <c r="I11" s="5" t="n">
        <v>5</v>
      </c>
      <c r="J11" s="5" t="n">
        <v>3</v>
      </c>
      <c r="K11" s="6" t="s">
        <v>14</v>
      </c>
      <c r="L11" s="6" t="s">
        <v>119</v>
      </c>
      <c r="M11" s="6"/>
      <c r="N11" s="6" t="s">
        <v>120</v>
      </c>
      <c r="O11" s="6" t="s">
        <v>121</v>
      </c>
      <c r="P11" s="6" t="s">
        <v>122</v>
      </c>
    </row>
    <row r="12" customFormat="false" ht="23.85" hidden="false" customHeight="false" outlineLevel="0" collapsed="false">
      <c r="A12" s="5" t="n">
        <v>11</v>
      </c>
      <c r="B12" s="6" t="s">
        <v>74</v>
      </c>
      <c r="C12" s="6" t="s">
        <v>123</v>
      </c>
      <c r="D12" s="6" t="s">
        <v>124</v>
      </c>
      <c r="E12" s="6" t="s">
        <v>77</v>
      </c>
      <c r="F12" s="6" t="s">
        <v>125</v>
      </c>
      <c r="G12" s="6"/>
      <c r="H12" s="5" t="n">
        <f aca="false">LEN(F12)</f>
        <v>13</v>
      </c>
      <c r="I12" s="5" t="n">
        <v>4</v>
      </c>
      <c r="J12" s="5" t="n">
        <v>3</v>
      </c>
      <c r="K12" s="6" t="s">
        <v>14</v>
      </c>
      <c r="L12" s="6" t="s">
        <v>126</v>
      </c>
      <c r="M12" s="6"/>
      <c r="N12" s="6" t="s">
        <v>80</v>
      </c>
      <c r="O12" s="6" t="s">
        <v>127</v>
      </c>
      <c r="P12" s="6"/>
    </row>
    <row r="13" customFormat="false" ht="23.85" hidden="false" customHeight="false" outlineLevel="0" collapsed="false">
      <c r="A13" s="5" t="n">
        <v>12</v>
      </c>
      <c r="B13" s="6" t="s">
        <v>74</v>
      </c>
      <c r="C13" s="6" t="s">
        <v>128</v>
      </c>
      <c r="D13" s="6" t="s">
        <v>129</v>
      </c>
      <c r="E13" s="6" t="s">
        <v>77</v>
      </c>
      <c r="F13" s="6" t="s">
        <v>130</v>
      </c>
      <c r="G13" s="6"/>
      <c r="H13" s="5" t="n">
        <f aca="false">LEN(F13)</f>
        <v>21</v>
      </c>
      <c r="I13" s="5" t="n">
        <v>5</v>
      </c>
      <c r="J13" s="5" t="n">
        <v>3</v>
      </c>
      <c r="K13" s="6" t="s">
        <v>14</v>
      </c>
      <c r="L13" s="6" t="s">
        <v>131</v>
      </c>
      <c r="M13" s="6"/>
      <c r="N13" s="6" t="s">
        <v>80</v>
      </c>
      <c r="O13" s="6" t="s">
        <v>132</v>
      </c>
      <c r="P13" s="6"/>
    </row>
    <row r="14" customFormat="false" ht="23.85" hidden="false" customHeight="false" outlineLevel="0" collapsed="false">
      <c r="A14" s="5" t="n">
        <v>13</v>
      </c>
      <c r="B14" s="6" t="s">
        <v>74</v>
      </c>
      <c r="C14" s="6" t="s">
        <v>133</v>
      </c>
      <c r="D14" s="6" t="s">
        <v>134</v>
      </c>
      <c r="E14" s="6" t="s">
        <v>77</v>
      </c>
      <c r="F14" s="6" t="s">
        <v>135</v>
      </c>
      <c r="G14" s="6"/>
      <c r="H14" s="5" t="n">
        <f aca="false">LEN(F14)</f>
        <v>27</v>
      </c>
      <c r="I14" s="5" t="n">
        <v>5</v>
      </c>
      <c r="J14" s="5" t="n">
        <v>2</v>
      </c>
      <c r="K14" s="6" t="s">
        <v>14</v>
      </c>
      <c r="L14" s="6" t="s">
        <v>136</v>
      </c>
      <c r="M14" s="6"/>
      <c r="N14" s="6" t="s">
        <v>80</v>
      </c>
      <c r="O14" s="6" t="s">
        <v>137</v>
      </c>
      <c r="P14" s="6"/>
    </row>
    <row r="15" customFormat="false" ht="35.05" hidden="false" customHeight="false" outlineLevel="0" collapsed="false">
      <c r="A15" s="5" t="n">
        <v>14</v>
      </c>
      <c r="B15" s="6" t="s">
        <v>74</v>
      </c>
      <c r="C15" s="6" t="s">
        <v>133</v>
      </c>
      <c r="D15" s="6" t="s">
        <v>138</v>
      </c>
      <c r="E15" s="6" t="s">
        <v>77</v>
      </c>
      <c r="F15" s="6" t="s">
        <v>139</v>
      </c>
      <c r="G15" s="6"/>
      <c r="H15" s="5" t="n">
        <f aca="false">LEN(F15)</f>
        <v>43</v>
      </c>
      <c r="I15" s="5" t="n">
        <v>3</v>
      </c>
      <c r="J15" s="5" t="n">
        <v>5</v>
      </c>
      <c r="K15" s="6" t="s">
        <v>43</v>
      </c>
      <c r="L15" s="6" t="s">
        <v>140</v>
      </c>
      <c r="M15" s="6" t="s">
        <v>141</v>
      </c>
      <c r="N15" s="6" t="s">
        <v>80</v>
      </c>
      <c r="O15" s="6" t="s">
        <v>142</v>
      </c>
      <c r="P15" s="6"/>
    </row>
    <row r="16" customFormat="false" ht="23.85" hidden="false" customHeight="false" outlineLevel="0" collapsed="false">
      <c r="A16" s="5" t="n">
        <v>15</v>
      </c>
      <c r="B16" s="6" t="s">
        <v>74</v>
      </c>
      <c r="C16" s="6" t="s">
        <v>133</v>
      </c>
      <c r="D16" s="6" t="s">
        <v>143</v>
      </c>
      <c r="E16" s="6" t="s">
        <v>77</v>
      </c>
      <c r="F16" s="6" t="s">
        <v>144</v>
      </c>
      <c r="G16" s="6"/>
      <c r="H16" s="5" t="n">
        <f aca="false">LEN(F16)</f>
        <v>48</v>
      </c>
      <c r="I16" s="5" t="n">
        <v>5</v>
      </c>
      <c r="J16" s="5" t="n">
        <v>4</v>
      </c>
      <c r="K16" s="6" t="s">
        <v>12</v>
      </c>
      <c r="L16" s="6" t="s">
        <v>145</v>
      </c>
      <c r="M16" s="6"/>
      <c r="N16" s="6" t="s">
        <v>80</v>
      </c>
      <c r="O16" s="6" t="s">
        <v>146</v>
      </c>
      <c r="P16" s="6"/>
    </row>
    <row r="17" customFormat="false" ht="35.05" hidden="false" customHeight="false" outlineLevel="0" collapsed="false">
      <c r="A17" s="5" t="n">
        <v>16</v>
      </c>
      <c r="B17" s="6" t="s">
        <v>74</v>
      </c>
      <c r="C17" s="6" t="s">
        <v>133</v>
      </c>
      <c r="D17" s="6" t="s">
        <v>147</v>
      </c>
      <c r="E17" s="6" t="s">
        <v>148</v>
      </c>
      <c r="F17" s="6" t="s">
        <v>149</v>
      </c>
      <c r="G17" s="6" t="s">
        <v>150</v>
      </c>
      <c r="H17" s="5" t="n">
        <f aca="false">LEN(F17)</f>
        <v>84</v>
      </c>
      <c r="I17" s="5" t="n">
        <v>4</v>
      </c>
      <c r="J17" s="5" t="n">
        <v>5</v>
      </c>
      <c r="K17" s="6" t="s">
        <v>43</v>
      </c>
      <c r="L17" s="6" t="s">
        <v>151</v>
      </c>
      <c r="M17" s="6" t="s">
        <v>152</v>
      </c>
      <c r="N17" s="6" t="s">
        <v>80</v>
      </c>
      <c r="O17" s="6" t="s">
        <v>153</v>
      </c>
      <c r="P17" s="6" t="s">
        <v>154</v>
      </c>
    </row>
    <row r="18" customFormat="false" ht="23.85" hidden="false" customHeight="false" outlineLevel="0" collapsed="false">
      <c r="A18" s="5" t="n">
        <v>17</v>
      </c>
      <c r="B18" s="6" t="s">
        <v>74</v>
      </c>
      <c r="C18" s="6" t="s">
        <v>133</v>
      </c>
      <c r="D18" s="6" t="s">
        <v>155</v>
      </c>
      <c r="E18" s="6" t="s">
        <v>77</v>
      </c>
      <c r="F18" s="6" t="s">
        <v>156</v>
      </c>
      <c r="G18" s="6"/>
      <c r="H18" s="5" t="n">
        <f aca="false">LEN(F18)</f>
        <v>25</v>
      </c>
      <c r="I18" s="5" t="n">
        <v>5</v>
      </c>
      <c r="J18" s="5" t="n">
        <v>2</v>
      </c>
      <c r="K18" s="6" t="s">
        <v>14</v>
      </c>
      <c r="L18" s="6" t="s">
        <v>157</v>
      </c>
      <c r="M18" s="6"/>
      <c r="N18" s="6" t="s">
        <v>80</v>
      </c>
      <c r="O18" s="6" t="s">
        <v>158</v>
      </c>
      <c r="P18" s="6"/>
    </row>
    <row r="19" customFormat="false" ht="23.85" hidden="false" customHeight="false" outlineLevel="0" collapsed="false">
      <c r="A19" s="5" t="n">
        <v>18</v>
      </c>
      <c r="B19" s="6" t="s">
        <v>74</v>
      </c>
      <c r="C19" s="6" t="s">
        <v>133</v>
      </c>
      <c r="D19" s="6" t="s">
        <v>159</v>
      </c>
      <c r="E19" s="6" t="s">
        <v>77</v>
      </c>
      <c r="F19" s="6" t="s">
        <v>160</v>
      </c>
      <c r="G19" s="6"/>
      <c r="H19" s="5" t="n">
        <f aca="false">LEN(F19)</f>
        <v>37</v>
      </c>
      <c r="I19" s="5" t="n">
        <v>5</v>
      </c>
      <c r="J19" s="5" t="n">
        <v>2</v>
      </c>
      <c r="K19" s="6" t="s">
        <v>14</v>
      </c>
      <c r="L19" s="6" t="s">
        <v>161</v>
      </c>
      <c r="M19" s="6"/>
      <c r="N19" s="6" t="s">
        <v>80</v>
      </c>
      <c r="O19" s="6" t="s">
        <v>162</v>
      </c>
      <c r="P19" s="6"/>
    </row>
    <row r="20" customFormat="false" ht="35.05" hidden="false" customHeight="false" outlineLevel="0" collapsed="false">
      <c r="A20" s="5" t="n">
        <v>19</v>
      </c>
      <c r="B20" s="6" t="s">
        <v>74</v>
      </c>
      <c r="C20" s="6" t="s">
        <v>163</v>
      </c>
      <c r="D20" s="6" t="s">
        <v>164</v>
      </c>
      <c r="E20" s="6" t="s">
        <v>77</v>
      </c>
      <c r="F20" s="6" t="s">
        <v>165</v>
      </c>
      <c r="G20" s="6" t="s">
        <v>166</v>
      </c>
      <c r="H20" s="5" t="n">
        <f aca="false">LEN(F20)</f>
        <v>88</v>
      </c>
      <c r="I20" s="5" t="n">
        <v>3</v>
      </c>
      <c r="J20" s="5" t="n">
        <v>5</v>
      </c>
      <c r="K20" s="6" t="s">
        <v>43</v>
      </c>
      <c r="L20" s="6" t="s">
        <v>167</v>
      </c>
      <c r="M20" s="6" t="s">
        <v>168</v>
      </c>
      <c r="N20" s="6" t="s">
        <v>80</v>
      </c>
      <c r="O20" s="6" t="s">
        <v>169</v>
      </c>
      <c r="P20" s="6" t="s">
        <v>170</v>
      </c>
    </row>
    <row r="21" customFormat="false" ht="23.85" hidden="false" customHeight="false" outlineLevel="0" collapsed="false">
      <c r="A21" s="5" t="n">
        <v>20</v>
      </c>
      <c r="B21" s="6" t="s">
        <v>74</v>
      </c>
      <c r="C21" s="6" t="s">
        <v>171</v>
      </c>
      <c r="D21" s="6" t="s">
        <v>172</v>
      </c>
      <c r="E21" s="6" t="s">
        <v>77</v>
      </c>
      <c r="F21" s="6" t="s">
        <v>173</v>
      </c>
      <c r="G21" s="6"/>
      <c r="H21" s="5" t="n">
        <f aca="false">LEN(F21)</f>
        <v>43</v>
      </c>
      <c r="I21" s="5" t="n">
        <v>3</v>
      </c>
      <c r="J21" s="5" t="n">
        <v>3</v>
      </c>
      <c r="K21" s="6" t="s">
        <v>14</v>
      </c>
      <c r="L21" s="6" t="s">
        <v>174</v>
      </c>
      <c r="M21" s="6"/>
      <c r="N21" s="6" t="s">
        <v>175</v>
      </c>
      <c r="O21" s="6" t="s">
        <v>176</v>
      </c>
      <c r="P21" s="6"/>
    </row>
    <row r="22" customFormat="false" ht="35.05" hidden="false" customHeight="false" outlineLevel="0" collapsed="false">
      <c r="A22" s="5" t="n">
        <v>21</v>
      </c>
      <c r="B22" s="6" t="s">
        <v>74</v>
      </c>
      <c r="C22" s="6" t="s">
        <v>171</v>
      </c>
      <c r="D22" s="6" t="s">
        <v>177</v>
      </c>
      <c r="E22" s="6" t="s">
        <v>77</v>
      </c>
      <c r="F22" s="6" t="s">
        <v>178</v>
      </c>
      <c r="G22" s="6"/>
      <c r="H22" s="5" t="n">
        <f aca="false">LEN(F22)</f>
        <v>31</v>
      </c>
      <c r="I22" s="5" t="n">
        <v>3</v>
      </c>
      <c r="J22" s="5" t="n">
        <v>3</v>
      </c>
      <c r="K22" s="6" t="s">
        <v>14</v>
      </c>
      <c r="L22" s="6" t="s">
        <v>179</v>
      </c>
      <c r="M22" s="6"/>
      <c r="N22" s="6" t="s">
        <v>175</v>
      </c>
      <c r="O22" s="6" t="s">
        <v>180</v>
      </c>
      <c r="P22" s="6"/>
    </row>
    <row r="23" customFormat="false" ht="23.85" hidden="false" customHeight="false" outlineLevel="0" collapsed="false">
      <c r="A23" s="5" t="n">
        <v>22</v>
      </c>
      <c r="B23" s="6" t="s">
        <v>74</v>
      </c>
      <c r="C23" s="6" t="s">
        <v>171</v>
      </c>
      <c r="D23" s="6" t="s">
        <v>181</v>
      </c>
      <c r="E23" s="6" t="s">
        <v>77</v>
      </c>
      <c r="F23" s="6" t="s">
        <v>182</v>
      </c>
      <c r="G23" s="6"/>
      <c r="H23" s="5" t="n">
        <f aca="false">LEN(F23)</f>
        <v>60</v>
      </c>
      <c r="I23" s="5" t="n">
        <v>3</v>
      </c>
      <c r="J23" s="5" t="n">
        <v>3</v>
      </c>
      <c r="K23" s="6" t="s">
        <v>14</v>
      </c>
      <c r="L23" s="6" t="s">
        <v>183</v>
      </c>
      <c r="M23" s="6"/>
      <c r="N23" s="6" t="s">
        <v>175</v>
      </c>
      <c r="O23" s="6" t="s">
        <v>184</v>
      </c>
      <c r="P23" s="6"/>
    </row>
    <row r="24" customFormat="false" ht="23.85" hidden="false" customHeight="false" outlineLevel="0" collapsed="false">
      <c r="A24" s="5" t="n">
        <v>23</v>
      </c>
      <c r="B24" s="6" t="s">
        <v>74</v>
      </c>
      <c r="C24" s="6" t="s">
        <v>171</v>
      </c>
      <c r="D24" s="6" t="s">
        <v>185</v>
      </c>
      <c r="E24" s="6" t="s">
        <v>77</v>
      </c>
      <c r="F24" s="6" t="s">
        <v>186</v>
      </c>
      <c r="G24" s="6"/>
      <c r="H24" s="5" t="n">
        <f aca="false">LEN(F24)</f>
        <v>62</v>
      </c>
      <c r="I24" s="5" t="n">
        <v>5</v>
      </c>
      <c r="J24" s="5" t="n">
        <v>5</v>
      </c>
      <c r="K24" s="6" t="s">
        <v>12</v>
      </c>
      <c r="L24" s="6" t="s">
        <v>187</v>
      </c>
      <c r="M24" s="6"/>
      <c r="N24" s="6" t="s">
        <v>175</v>
      </c>
      <c r="O24" s="6" t="s">
        <v>188</v>
      </c>
      <c r="P24" s="6"/>
    </row>
    <row r="25" customFormat="false" ht="23.85" hidden="false" customHeight="false" outlineLevel="0" collapsed="false">
      <c r="A25" s="5" t="n">
        <v>24</v>
      </c>
      <c r="B25" s="6" t="s">
        <v>74</v>
      </c>
      <c r="C25" s="6" t="s">
        <v>171</v>
      </c>
      <c r="D25" s="6" t="s">
        <v>189</v>
      </c>
      <c r="E25" s="6" t="s">
        <v>77</v>
      </c>
      <c r="F25" s="6" t="s">
        <v>190</v>
      </c>
      <c r="G25" s="6"/>
      <c r="H25" s="5" t="n">
        <f aca="false">LEN(F25)</f>
        <v>37</v>
      </c>
      <c r="I25" s="5" t="n">
        <v>4</v>
      </c>
      <c r="J25" s="5" t="n">
        <v>5</v>
      </c>
      <c r="K25" s="6" t="s">
        <v>43</v>
      </c>
      <c r="L25" s="6" t="s">
        <v>191</v>
      </c>
      <c r="M25" s="6" t="s">
        <v>192</v>
      </c>
      <c r="N25" s="6" t="s">
        <v>175</v>
      </c>
      <c r="O25" s="6" t="s">
        <v>193</v>
      </c>
      <c r="P25" s="6"/>
    </row>
    <row r="26" customFormat="false" ht="35.05" hidden="false" customHeight="false" outlineLevel="0" collapsed="false">
      <c r="A26" s="5" t="n">
        <v>25</v>
      </c>
      <c r="B26" s="6" t="s">
        <v>74</v>
      </c>
      <c r="C26" s="6" t="s">
        <v>171</v>
      </c>
      <c r="D26" s="6" t="s">
        <v>194</v>
      </c>
      <c r="E26" s="6" t="s">
        <v>77</v>
      </c>
      <c r="F26" s="6" t="s">
        <v>195</v>
      </c>
      <c r="G26" s="6"/>
      <c r="H26" s="5" t="n">
        <f aca="false">LEN(F26)</f>
        <v>42</v>
      </c>
      <c r="I26" s="5" t="n">
        <v>3</v>
      </c>
      <c r="J26" s="5" t="n">
        <v>3</v>
      </c>
      <c r="K26" s="6" t="s">
        <v>14</v>
      </c>
      <c r="L26" s="6" t="s">
        <v>196</v>
      </c>
      <c r="M26" s="6"/>
      <c r="N26" s="6" t="s">
        <v>175</v>
      </c>
      <c r="O26" s="6" t="s">
        <v>197</v>
      </c>
      <c r="P26" s="6"/>
    </row>
    <row r="27" customFormat="false" ht="23.85" hidden="false" customHeight="false" outlineLevel="0" collapsed="false">
      <c r="A27" s="5" t="n">
        <v>26</v>
      </c>
      <c r="B27" s="6" t="s">
        <v>74</v>
      </c>
      <c r="C27" s="6" t="s">
        <v>171</v>
      </c>
      <c r="D27" s="6" t="s">
        <v>198</v>
      </c>
      <c r="E27" s="6" t="s">
        <v>77</v>
      </c>
      <c r="F27" s="6" t="s">
        <v>199</v>
      </c>
      <c r="G27" s="6" t="s">
        <v>200</v>
      </c>
      <c r="H27" s="5" t="n">
        <f aca="false">LEN(F27)</f>
        <v>42</v>
      </c>
      <c r="I27" s="5" t="n">
        <v>3</v>
      </c>
      <c r="J27" s="5" t="n">
        <v>2</v>
      </c>
      <c r="K27" s="6" t="s">
        <v>14</v>
      </c>
      <c r="L27" s="6" t="s">
        <v>201</v>
      </c>
      <c r="M27" s="6"/>
      <c r="N27" s="6" t="s">
        <v>175</v>
      </c>
      <c r="O27" s="6" t="s">
        <v>202</v>
      </c>
      <c r="P27" s="6"/>
    </row>
    <row r="28" customFormat="false" ht="23.85" hidden="false" customHeight="false" outlineLevel="0" collapsed="false">
      <c r="A28" s="5" t="n">
        <v>27</v>
      </c>
      <c r="B28" s="6" t="s">
        <v>74</v>
      </c>
      <c r="C28" s="6" t="s">
        <v>203</v>
      </c>
      <c r="D28" s="6" t="s">
        <v>204</v>
      </c>
      <c r="E28" s="6" t="s">
        <v>77</v>
      </c>
      <c r="F28" s="6" t="s">
        <v>173</v>
      </c>
      <c r="G28" s="6"/>
      <c r="H28" s="5" t="n">
        <f aca="false">LEN(F28)</f>
        <v>43</v>
      </c>
      <c r="I28" s="5" t="n">
        <v>3</v>
      </c>
      <c r="J28" s="5" t="n">
        <v>4</v>
      </c>
      <c r="K28" s="6" t="s">
        <v>12</v>
      </c>
      <c r="L28" s="6" t="s">
        <v>205</v>
      </c>
      <c r="M28" s="6"/>
      <c r="N28" s="6" t="s">
        <v>80</v>
      </c>
      <c r="O28" s="6" t="s">
        <v>206</v>
      </c>
      <c r="P28" s="6"/>
    </row>
    <row r="29" customFormat="false" ht="23.85" hidden="false" customHeight="false" outlineLevel="0" collapsed="false">
      <c r="A29" s="5" t="n">
        <v>28</v>
      </c>
      <c r="B29" s="6" t="s">
        <v>74</v>
      </c>
      <c r="C29" s="6" t="s">
        <v>203</v>
      </c>
      <c r="D29" s="6" t="s">
        <v>207</v>
      </c>
      <c r="E29" s="6" t="s">
        <v>77</v>
      </c>
      <c r="F29" s="6" t="s">
        <v>208</v>
      </c>
      <c r="G29" s="6"/>
      <c r="H29" s="5" t="n">
        <f aca="false">LEN(F29)</f>
        <v>13</v>
      </c>
      <c r="I29" s="5" t="n">
        <v>5</v>
      </c>
      <c r="J29" s="5" t="n">
        <v>1</v>
      </c>
      <c r="K29" s="6" t="s">
        <v>14</v>
      </c>
      <c r="L29" s="6" t="s">
        <v>157</v>
      </c>
      <c r="M29" s="6"/>
      <c r="N29" s="6" t="s">
        <v>80</v>
      </c>
      <c r="O29" s="6" t="s">
        <v>209</v>
      </c>
      <c r="P29" s="6"/>
    </row>
    <row r="30" customFormat="false" ht="23.85" hidden="false" customHeight="false" outlineLevel="0" collapsed="false">
      <c r="A30" s="5" t="n">
        <v>29</v>
      </c>
      <c r="B30" s="6" t="s">
        <v>74</v>
      </c>
      <c r="C30" s="6" t="s">
        <v>203</v>
      </c>
      <c r="D30" s="6" t="s">
        <v>210</v>
      </c>
      <c r="E30" s="6" t="s">
        <v>148</v>
      </c>
      <c r="F30" s="6" t="s">
        <v>211</v>
      </c>
      <c r="G30" s="6"/>
      <c r="H30" s="5" t="n">
        <f aca="false">LEN(F30)</f>
        <v>15</v>
      </c>
      <c r="I30" s="5" t="n">
        <v>3</v>
      </c>
      <c r="J30" s="5" t="n">
        <v>1</v>
      </c>
      <c r="K30" s="6" t="s">
        <v>14</v>
      </c>
      <c r="L30" s="6" t="s">
        <v>212</v>
      </c>
      <c r="M30" s="6"/>
      <c r="N30" s="6" t="s">
        <v>213</v>
      </c>
      <c r="O30" s="6" t="s">
        <v>214</v>
      </c>
      <c r="P30" s="6"/>
    </row>
    <row r="31" customFormat="false" ht="23.85" hidden="false" customHeight="false" outlineLevel="0" collapsed="false">
      <c r="A31" s="5" t="n">
        <v>30</v>
      </c>
      <c r="B31" s="6" t="s">
        <v>74</v>
      </c>
      <c r="C31" s="6" t="s">
        <v>215</v>
      </c>
      <c r="D31" s="6" t="s">
        <v>216</v>
      </c>
      <c r="E31" s="6" t="s">
        <v>77</v>
      </c>
      <c r="F31" s="6" t="s">
        <v>217</v>
      </c>
      <c r="G31" s="6"/>
      <c r="H31" s="5" t="n">
        <f aca="false">LEN(F31)</f>
        <v>15</v>
      </c>
      <c r="I31" s="5" t="n">
        <v>3</v>
      </c>
      <c r="J31" s="5" t="n">
        <v>2</v>
      </c>
      <c r="K31" s="6" t="s">
        <v>14</v>
      </c>
      <c r="L31" s="6" t="s">
        <v>157</v>
      </c>
      <c r="M31" s="6"/>
      <c r="N31" s="6" t="s">
        <v>80</v>
      </c>
      <c r="O31" s="6" t="s">
        <v>218</v>
      </c>
      <c r="P31" s="6"/>
    </row>
    <row r="32" customFormat="false" ht="23.85" hidden="false" customHeight="false" outlineLevel="0" collapsed="false">
      <c r="A32" s="5" t="n">
        <v>31</v>
      </c>
      <c r="B32" s="6" t="s">
        <v>74</v>
      </c>
      <c r="C32" s="6" t="s">
        <v>219</v>
      </c>
      <c r="D32" s="6" t="s">
        <v>220</v>
      </c>
      <c r="E32" s="6" t="s">
        <v>77</v>
      </c>
      <c r="F32" s="6" t="s">
        <v>221</v>
      </c>
      <c r="G32" s="6"/>
      <c r="H32" s="5" t="n">
        <f aca="false">LEN(F32)</f>
        <v>5</v>
      </c>
      <c r="I32" s="5" t="n">
        <v>5</v>
      </c>
      <c r="J32" s="5" t="n">
        <v>1</v>
      </c>
      <c r="K32" s="6" t="s">
        <v>14</v>
      </c>
      <c r="L32" s="6" t="s">
        <v>136</v>
      </c>
      <c r="M32" s="6"/>
      <c r="N32" s="6" t="s">
        <v>80</v>
      </c>
      <c r="O32" s="6" t="s">
        <v>222</v>
      </c>
      <c r="P32" s="6"/>
    </row>
    <row r="33" customFormat="false" ht="23.85" hidden="false" customHeight="false" outlineLevel="0" collapsed="false">
      <c r="A33" s="5" t="n">
        <v>32</v>
      </c>
      <c r="B33" s="6" t="s">
        <v>74</v>
      </c>
      <c r="C33" s="6" t="s">
        <v>223</v>
      </c>
      <c r="D33" s="6" t="s">
        <v>134</v>
      </c>
      <c r="E33" s="6" t="s">
        <v>224</v>
      </c>
      <c r="F33" s="6" t="s">
        <v>225</v>
      </c>
      <c r="G33" s="6"/>
      <c r="H33" s="5" t="n">
        <f aca="false">LEN(F33)</f>
        <v>4</v>
      </c>
      <c r="I33" s="5" t="n">
        <v>5</v>
      </c>
      <c r="J33" s="5" t="n">
        <v>1</v>
      </c>
      <c r="K33" s="6" t="s">
        <v>14</v>
      </c>
      <c r="L33" s="6" t="s">
        <v>226</v>
      </c>
      <c r="M33" s="6"/>
      <c r="N33" s="6" t="s">
        <v>80</v>
      </c>
      <c r="O33" s="6" t="s">
        <v>227</v>
      </c>
      <c r="P33" s="6"/>
    </row>
    <row r="34" customFormat="false" ht="23.85" hidden="false" customHeight="false" outlineLevel="0" collapsed="false">
      <c r="A34" s="5" t="n">
        <v>33</v>
      </c>
      <c r="B34" s="6" t="s">
        <v>228</v>
      </c>
      <c r="C34" s="6" t="s">
        <v>229</v>
      </c>
      <c r="D34" s="6" t="s">
        <v>230</v>
      </c>
      <c r="E34" s="6" t="s">
        <v>77</v>
      </c>
      <c r="F34" s="6" t="s">
        <v>231</v>
      </c>
      <c r="G34" s="6"/>
      <c r="H34" s="5" t="n">
        <f aca="false">LEN(F34)</f>
        <v>27</v>
      </c>
      <c r="I34" s="5" t="n">
        <v>4</v>
      </c>
      <c r="J34" s="5" t="n">
        <v>3</v>
      </c>
      <c r="K34" s="6" t="s">
        <v>14</v>
      </c>
      <c r="L34" s="6" t="s">
        <v>232</v>
      </c>
      <c r="M34" s="6"/>
      <c r="N34" s="6" t="s">
        <v>233</v>
      </c>
      <c r="O34" s="6" t="s">
        <v>234</v>
      </c>
      <c r="P34" s="6"/>
    </row>
    <row r="35" customFormat="false" ht="23.85" hidden="false" customHeight="false" outlineLevel="0" collapsed="false">
      <c r="A35" s="5" t="n">
        <v>34</v>
      </c>
      <c r="B35" s="6" t="s">
        <v>228</v>
      </c>
      <c r="C35" s="6" t="s">
        <v>235</v>
      </c>
      <c r="D35" s="6" t="s">
        <v>236</v>
      </c>
      <c r="E35" s="6" t="s">
        <v>77</v>
      </c>
      <c r="F35" s="6" t="s">
        <v>237</v>
      </c>
      <c r="G35" s="6"/>
      <c r="H35" s="5" t="n">
        <f aca="false">LEN(F35)</f>
        <v>44</v>
      </c>
      <c r="I35" s="5" t="n">
        <v>5</v>
      </c>
      <c r="J35" s="5" t="n">
        <v>4</v>
      </c>
      <c r="K35" s="6" t="s">
        <v>12</v>
      </c>
      <c r="L35" s="6" t="s">
        <v>238</v>
      </c>
      <c r="M35" s="6"/>
      <c r="N35" s="6" t="s">
        <v>233</v>
      </c>
      <c r="O35" s="6" t="s">
        <v>239</v>
      </c>
      <c r="P35" s="6"/>
    </row>
    <row r="36" customFormat="false" ht="23.85" hidden="false" customHeight="false" outlineLevel="0" collapsed="false">
      <c r="A36" s="5" t="n">
        <v>35</v>
      </c>
      <c r="B36" s="6" t="s">
        <v>228</v>
      </c>
      <c r="C36" s="6" t="s">
        <v>240</v>
      </c>
      <c r="D36" s="6" t="s">
        <v>236</v>
      </c>
      <c r="E36" s="6" t="s">
        <v>77</v>
      </c>
      <c r="F36" s="6" t="s">
        <v>241</v>
      </c>
      <c r="G36" s="6"/>
      <c r="H36" s="5" t="n">
        <f aca="false">LEN(F36)</f>
        <v>20</v>
      </c>
      <c r="I36" s="5" t="n">
        <v>4</v>
      </c>
      <c r="J36" s="5" t="n">
        <v>4</v>
      </c>
      <c r="K36" s="6" t="s">
        <v>12</v>
      </c>
      <c r="L36" s="6" t="s">
        <v>242</v>
      </c>
      <c r="M36" s="6"/>
      <c r="N36" s="6" t="s">
        <v>233</v>
      </c>
      <c r="O36" s="6" t="s">
        <v>243</v>
      </c>
      <c r="P36" s="6"/>
    </row>
    <row r="37" customFormat="false" ht="23.85" hidden="false" customHeight="false" outlineLevel="0" collapsed="false">
      <c r="A37" s="5" t="n">
        <v>36</v>
      </c>
      <c r="B37" s="6" t="s">
        <v>228</v>
      </c>
      <c r="C37" s="6" t="s">
        <v>244</v>
      </c>
      <c r="D37" s="6" t="s">
        <v>236</v>
      </c>
      <c r="E37" s="6" t="s">
        <v>77</v>
      </c>
      <c r="F37" s="6" t="s">
        <v>245</v>
      </c>
      <c r="G37" s="6"/>
      <c r="H37" s="5" t="n">
        <f aca="false">LEN(F37)</f>
        <v>52</v>
      </c>
      <c r="I37" s="5" t="n">
        <v>5</v>
      </c>
      <c r="J37" s="5" t="n">
        <v>5</v>
      </c>
      <c r="K37" s="6" t="s">
        <v>12</v>
      </c>
      <c r="L37" s="6" t="s">
        <v>246</v>
      </c>
      <c r="M37" s="6"/>
      <c r="N37" s="6" t="s">
        <v>233</v>
      </c>
      <c r="O37" s="6" t="s">
        <v>247</v>
      </c>
      <c r="P37" s="6"/>
    </row>
    <row r="38" customFormat="false" ht="15" hidden="false" customHeight="false" outlineLevel="0" collapsed="false">
      <c r="A38" s="5" t="n">
        <v>37</v>
      </c>
      <c r="B38" s="6" t="s">
        <v>228</v>
      </c>
      <c r="C38" s="6" t="s">
        <v>248</v>
      </c>
      <c r="D38" s="6" t="s">
        <v>216</v>
      </c>
      <c r="E38" s="6" t="s">
        <v>77</v>
      </c>
      <c r="F38" s="6" t="s">
        <v>249</v>
      </c>
      <c r="G38" s="6"/>
      <c r="H38" s="5" t="n">
        <f aca="false">LEN(F38)</f>
        <v>27</v>
      </c>
      <c r="I38" s="5" t="n">
        <v>3</v>
      </c>
      <c r="J38" s="5" t="n">
        <v>2</v>
      </c>
      <c r="K38" s="6" t="s">
        <v>14</v>
      </c>
      <c r="L38" s="6" t="s">
        <v>250</v>
      </c>
      <c r="M38" s="6"/>
      <c r="N38" s="6" t="s">
        <v>233</v>
      </c>
      <c r="O38" s="6" t="s">
        <v>251</v>
      </c>
      <c r="P38" s="6"/>
    </row>
    <row r="39" customFormat="false" ht="15" hidden="false" customHeight="false" outlineLevel="0" collapsed="false">
      <c r="A39" s="5" t="n">
        <v>38</v>
      </c>
      <c r="B39" s="6" t="s">
        <v>228</v>
      </c>
      <c r="C39" s="6" t="s">
        <v>252</v>
      </c>
      <c r="D39" s="6" t="s">
        <v>253</v>
      </c>
      <c r="E39" s="6" t="s">
        <v>77</v>
      </c>
      <c r="F39" s="6" t="s">
        <v>254</v>
      </c>
      <c r="G39" s="6"/>
      <c r="H39" s="5" t="n">
        <f aca="false">LEN(F39)</f>
        <v>15</v>
      </c>
      <c r="I39" s="5" t="n">
        <v>5</v>
      </c>
      <c r="J39" s="5" t="n">
        <v>2</v>
      </c>
      <c r="K39" s="6" t="s">
        <v>14</v>
      </c>
      <c r="L39" s="6" t="s">
        <v>255</v>
      </c>
      <c r="M39" s="6"/>
      <c r="N39" s="6" t="s">
        <v>233</v>
      </c>
      <c r="O39" s="6" t="s">
        <v>256</v>
      </c>
      <c r="P39" s="6"/>
    </row>
    <row r="40" customFormat="false" ht="15" hidden="false" customHeight="false" outlineLevel="0" collapsed="false">
      <c r="A40" s="5" t="n">
        <v>39</v>
      </c>
      <c r="B40" s="6" t="s">
        <v>228</v>
      </c>
      <c r="C40" s="6" t="s">
        <v>252</v>
      </c>
      <c r="D40" s="6" t="s">
        <v>257</v>
      </c>
      <c r="E40" s="6" t="s">
        <v>77</v>
      </c>
      <c r="F40" s="6" t="s">
        <v>258</v>
      </c>
      <c r="G40" s="6"/>
      <c r="H40" s="5" t="n">
        <f aca="false">LEN(F40)</f>
        <v>25</v>
      </c>
      <c r="I40" s="5" t="n">
        <v>5</v>
      </c>
      <c r="J40" s="5" t="n">
        <v>2</v>
      </c>
      <c r="K40" s="6" t="s">
        <v>14</v>
      </c>
      <c r="L40" s="6" t="s">
        <v>157</v>
      </c>
      <c r="M40" s="6"/>
      <c r="N40" s="6" t="s">
        <v>233</v>
      </c>
      <c r="O40" s="6" t="s">
        <v>259</v>
      </c>
      <c r="P40" s="6"/>
    </row>
    <row r="41" customFormat="false" ht="15" hidden="false" customHeight="false" outlineLevel="0" collapsed="false">
      <c r="A41" s="5" t="n">
        <v>40</v>
      </c>
      <c r="B41" s="6" t="s">
        <v>228</v>
      </c>
      <c r="C41" s="6" t="s">
        <v>260</v>
      </c>
      <c r="D41" s="6" t="s">
        <v>261</v>
      </c>
      <c r="E41" s="6" t="s">
        <v>77</v>
      </c>
      <c r="F41" s="6" t="s">
        <v>254</v>
      </c>
      <c r="G41" s="6"/>
      <c r="H41" s="5" t="n">
        <f aca="false">LEN(F41)</f>
        <v>15</v>
      </c>
      <c r="I41" s="5" t="n">
        <v>5</v>
      </c>
      <c r="J41" s="5" t="n">
        <v>2</v>
      </c>
      <c r="K41" s="6" t="s">
        <v>14</v>
      </c>
      <c r="L41" s="6" t="s">
        <v>157</v>
      </c>
      <c r="M41" s="6"/>
      <c r="N41" s="6" t="s">
        <v>233</v>
      </c>
      <c r="O41" s="6" t="s">
        <v>262</v>
      </c>
      <c r="P41" s="6"/>
    </row>
    <row r="42" customFormat="false" ht="15" hidden="false" customHeight="false" outlineLevel="0" collapsed="false">
      <c r="A42" s="5" t="n">
        <v>41</v>
      </c>
      <c r="B42" s="6" t="s">
        <v>228</v>
      </c>
      <c r="C42" s="6" t="s">
        <v>263</v>
      </c>
      <c r="D42" s="6" t="s">
        <v>264</v>
      </c>
      <c r="E42" s="6" t="s">
        <v>77</v>
      </c>
      <c r="F42" s="6" t="s">
        <v>265</v>
      </c>
      <c r="G42" s="6"/>
      <c r="H42" s="5" t="n">
        <f aca="false">LEN(F42)</f>
        <v>17</v>
      </c>
      <c r="I42" s="5" t="n">
        <v>5</v>
      </c>
      <c r="J42" s="5" t="n">
        <v>2</v>
      </c>
      <c r="K42" s="6" t="s">
        <v>14</v>
      </c>
      <c r="L42" s="6" t="s">
        <v>157</v>
      </c>
      <c r="M42" s="6"/>
      <c r="N42" s="6" t="s">
        <v>233</v>
      </c>
      <c r="O42" s="6" t="s">
        <v>266</v>
      </c>
      <c r="P42" s="6"/>
    </row>
    <row r="43" customFormat="false" ht="15" hidden="false" customHeight="false" outlineLevel="0" collapsed="false">
      <c r="A43" s="5" t="n">
        <v>42</v>
      </c>
      <c r="B43" s="6" t="s">
        <v>228</v>
      </c>
      <c r="C43" s="6" t="s">
        <v>267</v>
      </c>
      <c r="D43" s="6" t="s">
        <v>253</v>
      </c>
      <c r="E43" s="6" t="s">
        <v>77</v>
      </c>
      <c r="F43" s="6" t="s">
        <v>268</v>
      </c>
      <c r="G43" s="6"/>
      <c r="H43" s="5" t="n">
        <f aca="false">LEN(F43)</f>
        <v>22</v>
      </c>
      <c r="I43" s="5" t="n">
        <v>4</v>
      </c>
      <c r="J43" s="5" t="n">
        <v>2</v>
      </c>
      <c r="K43" s="6" t="s">
        <v>14</v>
      </c>
      <c r="L43" s="6" t="s">
        <v>255</v>
      </c>
      <c r="M43" s="6"/>
      <c r="N43" s="6" t="s">
        <v>269</v>
      </c>
      <c r="O43" s="6" t="s">
        <v>270</v>
      </c>
      <c r="P43" s="6"/>
    </row>
    <row r="44" customFormat="false" ht="23.85" hidden="false" customHeight="false" outlineLevel="0" collapsed="false">
      <c r="A44" s="5" t="n">
        <v>43</v>
      </c>
      <c r="B44" s="6" t="s">
        <v>271</v>
      </c>
      <c r="C44" s="6" t="s">
        <v>272</v>
      </c>
      <c r="D44" s="6" t="s">
        <v>273</v>
      </c>
      <c r="E44" s="6" t="s">
        <v>77</v>
      </c>
      <c r="F44" s="6" t="s">
        <v>274</v>
      </c>
      <c r="G44" s="6"/>
      <c r="H44" s="5" t="n">
        <f aca="false">LEN(F44)</f>
        <v>18</v>
      </c>
      <c r="I44" s="5" t="n">
        <v>5</v>
      </c>
      <c r="J44" s="5" t="n">
        <v>2</v>
      </c>
      <c r="K44" s="6" t="s">
        <v>14</v>
      </c>
      <c r="L44" s="6" t="s">
        <v>275</v>
      </c>
      <c r="M44" s="6"/>
      <c r="N44" s="6" t="s">
        <v>276</v>
      </c>
      <c r="O44" s="6" t="s">
        <v>277</v>
      </c>
      <c r="P44" s="6"/>
    </row>
    <row r="45" customFormat="false" ht="23.85" hidden="false" customHeight="false" outlineLevel="0" collapsed="false">
      <c r="A45" s="5" t="n">
        <v>44</v>
      </c>
      <c r="B45" s="6" t="s">
        <v>278</v>
      </c>
      <c r="C45" s="6" t="s">
        <v>279</v>
      </c>
      <c r="D45" s="6" t="s">
        <v>280</v>
      </c>
      <c r="E45" s="6" t="s">
        <v>77</v>
      </c>
      <c r="F45" s="6" t="s">
        <v>281</v>
      </c>
      <c r="G45" s="6"/>
      <c r="H45" s="5" t="n">
        <f aca="false">LEN(F45)</f>
        <v>9</v>
      </c>
      <c r="I45" s="5" t="n">
        <v>5</v>
      </c>
      <c r="J45" s="5" t="n">
        <v>3</v>
      </c>
      <c r="K45" s="6" t="s">
        <v>14</v>
      </c>
      <c r="L45" s="6" t="s">
        <v>282</v>
      </c>
      <c r="M45" s="6"/>
      <c r="N45" s="6" t="s">
        <v>283</v>
      </c>
      <c r="O45" s="6" t="s">
        <v>284</v>
      </c>
      <c r="P45" s="6" t="s">
        <v>285</v>
      </c>
    </row>
    <row r="46" customFormat="false" ht="23.85" hidden="false" customHeight="false" outlineLevel="0" collapsed="false">
      <c r="A46" s="5" t="n">
        <v>45</v>
      </c>
      <c r="B46" s="6" t="s">
        <v>278</v>
      </c>
      <c r="C46" s="6" t="s">
        <v>279</v>
      </c>
      <c r="D46" s="6" t="s">
        <v>280</v>
      </c>
      <c r="E46" s="6" t="s">
        <v>77</v>
      </c>
      <c r="F46" s="6" t="s">
        <v>286</v>
      </c>
      <c r="G46" s="6"/>
      <c r="H46" s="5" t="n">
        <f aca="false">LEN(F46)</f>
        <v>7</v>
      </c>
      <c r="I46" s="5" t="n">
        <v>5</v>
      </c>
      <c r="J46" s="5" t="n">
        <v>3</v>
      </c>
      <c r="K46" s="6" t="s">
        <v>14</v>
      </c>
      <c r="L46" s="6" t="s">
        <v>282</v>
      </c>
      <c r="M46" s="6"/>
      <c r="N46" s="6" t="s">
        <v>283</v>
      </c>
      <c r="O46" s="6" t="s">
        <v>287</v>
      </c>
      <c r="P46" s="6"/>
    </row>
    <row r="47" customFormat="false" ht="23.85" hidden="false" customHeight="false" outlineLevel="0" collapsed="false">
      <c r="A47" s="5" t="n">
        <v>46</v>
      </c>
      <c r="B47" s="6" t="s">
        <v>278</v>
      </c>
      <c r="C47" s="6" t="s">
        <v>279</v>
      </c>
      <c r="D47" s="6" t="s">
        <v>280</v>
      </c>
      <c r="E47" s="6" t="s">
        <v>77</v>
      </c>
      <c r="F47" s="6" t="s">
        <v>288</v>
      </c>
      <c r="G47" s="6"/>
      <c r="H47" s="5" t="n">
        <f aca="false">LEN(F47)</f>
        <v>8</v>
      </c>
      <c r="I47" s="5" t="n">
        <v>5</v>
      </c>
      <c r="J47" s="5" t="n">
        <v>3</v>
      </c>
      <c r="K47" s="6" t="s">
        <v>14</v>
      </c>
      <c r="L47" s="6" t="s">
        <v>282</v>
      </c>
      <c r="M47" s="6"/>
      <c r="N47" s="6" t="s">
        <v>283</v>
      </c>
      <c r="O47" s="6" t="s">
        <v>289</v>
      </c>
      <c r="P47" s="6"/>
    </row>
    <row r="48" customFormat="false" ht="23.85" hidden="false" customHeight="false" outlineLevel="0" collapsed="false">
      <c r="A48" s="5" t="n">
        <v>47</v>
      </c>
      <c r="B48" s="6" t="s">
        <v>278</v>
      </c>
      <c r="C48" s="6" t="s">
        <v>279</v>
      </c>
      <c r="D48" s="6" t="s">
        <v>280</v>
      </c>
      <c r="E48" s="6" t="s">
        <v>77</v>
      </c>
      <c r="F48" s="6" t="s">
        <v>290</v>
      </c>
      <c r="G48" s="6"/>
      <c r="H48" s="5" t="n">
        <f aca="false">LEN(F48)</f>
        <v>7</v>
      </c>
      <c r="I48" s="5" t="n">
        <v>5</v>
      </c>
      <c r="J48" s="5" t="n">
        <v>3</v>
      </c>
      <c r="K48" s="6" t="s">
        <v>14</v>
      </c>
      <c r="L48" s="6" t="s">
        <v>282</v>
      </c>
      <c r="M48" s="6"/>
      <c r="N48" s="6" t="s">
        <v>283</v>
      </c>
      <c r="O48" s="6" t="s">
        <v>291</v>
      </c>
      <c r="P48" s="6"/>
    </row>
    <row r="49" customFormat="false" ht="23.85" hidden="false" customHeight="false" outlineLevel="0" collapsed="false">
      <c r="A49" s="5" t="n">
        <v>48</v>
      </c>
      <c r="B49" s="6" t="s">
        <v>278</v>
      </c>
      <c r="C49" s="6" t="s">
        <v>279</v>
      </c>
      <c r="D49" s="6" t="s">
        <v>280</v>
      </c>
      <c r="E49" s="6" t="s">
        <v>77</v>
      </c>
      <c r="F49" s="6" t="s">
        <v>292</v>
      </c>
      <c r="G49" s="6"/>
      <c r="H49" s="5" t="n">
        <f aca="false">LEN(F49)</f>
        <v>11</v>
      </c>
      <c r="I49" s="5" t="n">
        <v>5</v>
      </c>
      <c r="J49" s="5" t="n">
        <v>3</v>
      </c>
      <c r="K49" s="6" t="s">
        <v>14</v>
      </c>
      <c r="L49" s="6" t="s">
        <v>282</v>
      </c>
      <c r="M49" s="6"/>
      <c r="N49" s="6" t="s">
        <v>283</v>
      </c>
      <c r="O49" s="6" t="s">
        <v>293</v>
      </c>
      <c r="P49" s="6"/>
    </row>
    <row r="50" customFormat="false" ht="23.85" hidden="false" customHeight="false" outlineLevel="0" collapsed="false">
      <c r="A50" s="5" t="n">
        <v>49</v>
      </c>
      <c r="B50" s="6" t="s">
        <v>278</v>
      </c>
      <c r="C50" s="6" t="s">
        <v>279</v>
      </c>
      <c r="D50" s="6" t="s">
        <v>280</v>
      </c>
      <c r="E50" s="6" t="s">
        <v>77</v>
      </c>
      <c r="F50" s="6" t="s">
        <v>294</v>
      </c>
      <c r="G50" s="6"/>
      <c r="H50" s="5" t="n">
        <f aca="false">LEN(F50)</f>
        <v>5</v>
      </c>
      <c r="I50" s="5" t="n">
        <v>5</v>
      </c>
      <c r="J50" s="5" t="n">
        <v>3</v>
      </c>
      <c r="K50" s="6" t="s">
        <v>14</v>
      </c>
      <c r="L50" s="6" t="s">
        <v>282</v>
      </c>
      <c r="M50" s="6"/>
      <c r="N50" s="6" t="s">
        <v>283</v>
      </c>
      <c r="O50" s="6" t="s">
        <v>295</v>
      </c>
      <c r="P50" s="6"/>
    </row>
    <row r="51" customFormat="false" ht="23.85" hidden="false" customHeight="false" outlineLevel="0" collapsed="false">
      <c r="A51" s="5" t="n">
        <v>50</v>
      </c>
      <c r="B51" s="6" t="s">
        <v>278</v>
      </c>
      <c r="C51" s="6" t="s">
        <v>279</v>
      </c>
      <c r="D51" s="6" t="s">
        <v>280</v>
      </c>
      <c r="E51" s="6" t="s">
        <v>77</v>
      </c>
      <c r="F51" s="6" t="s">
        <v>296</v>
      </c>
      <c r="G51" s="6"/>
      <c r="H51" s="5" t="n">
        <f aca="false">LEN(F51)</f>
        <v>5</v>
      </c>
      <c r="I51" s="5" t="n">
        <v>5</v>
      </c>
      <c r="J51" s="5" t="n">
        <v>3</v>
      </c>
      <c r="K51" s="6" t="s">
        <v>14</v>
      </c>
      <c r="L51" s="6" t="s">
        <v>282</v>
      </c>
      <c r="M51" s="6"/>
      <c r="N51" s="6" t="s">
        <v>283</v>
      </c>
      <c r="O51" s="6" t="s">
        <v>297</v>
      </c>
      <c r="P51" s="6" t="s">
        <v>298</v>
      </c>
    </row>
    <row r="52" customFormat="false" ht="23.85" hidden="false" customHeight="false" outlineLevel="0" collapsed="false">
      <c r="A52" s="5" t="n">
        <v>51</v>
      </c>
      <c r="B52" s="6" t="s">
        <v>278</v>
      </c>
      <c r="C52" s="6" t="s">
        <v>279</v>
      </c>
      <c r="D52" s="6" t="s">
        <v>280</v>
      </c>
      <c r="E52" s="6" t="s">
        <v>77</v>
      </c>
      <c r="F52" s="6" t="s">
        <v>299</v>
      </c>
      <c r="G52" s="6"/>
      <c r="H52" s="5" t="n">
        <f aca="false">LEN(F52)</f>
        <v>7</v>
      </c>
      <c r="I52" s="5" t="n">
        <v>5</v>
      </c>
      <c r="J52" s="5" t="n">
        <v>3</v>
      </c>
      <c r="K52" s="6" t="s">
        <v>14</v>
      </c>
      <c r="L52" s="6" t="s">
        <v>282</v>
      </c>
      <c r="M52" s="6"/>
      <c r="N52" s="6" t="s">
        <v>283</v>
      </c>
      <c r="O52" s="6" t="s">
        <v>300</v>
      </c>
      <c r="P52" s="6"/>
    </row>
    <row r="53" customFormat="false" ht="23.85" hidden="false" customHeight="false" outlineLevel="0" collapsed="false">
      <c r="A53" s="5" t="n">
        <v>52</v>
      </c>
      <c r="B53" s="6" t="s">
        <v>278</v>
      </c>
      <c r="C53" s="6" t="s">
        <v>279</v>
      </c>
      <c r="D53" s="6" t="s">
        <v>280</v>
      </c>
      <c r="E53" s="6" t="s">
        <v>77</v>
      </c>
      <c r="F53" s="6" t="s">
        <v>301</v>
      </c>
      <c r="G53" s="6"/>
      <c r="H53" s="5" t="n">
        <f aca="false">LEN(F53)</f>
        <v>11</v>
      </c>
      <c r="I53" s="5" t="n">
        <v>5</v>
      </c>
      <c r="J53" s="5" t="n">
        <v>3</v>
      </c>
      <c r="K53" s="6" t="s">
        <v>14</v>
      </c>
      <c r="L53" s="6" t="s">
        <v>282</v>
      </c>
      <c r="M53" s="6"/>
      <c r="N53" s="6" t="s">
        <v>283</v>
      </c>
      <c r="O53" s="6" t="s">
        <v>302</v>
      </c>
      <c r="P53" s="6" t="s">
        <v>303</v>
      </c>
    </row>
    <row r="54" customFormat="false" ht="15" hidden="false" customHeight="false" outlineLevel="0" collapsed="false">
      <c r="A54" s="5" t="n">
        <v>53</v>
      </c>
      <c r="B54" s="6" t="s">
        <v>278</v>
      </c>
      <c r="C54" s="6" t="s">
        <v>304</v>
      </c>
      <c r="D54" s="6" t="s">
        <v>305</v>
      </c>
      <c r="E54" s="6" t="s">
        <v>77</v>
      </c>
      <c r="F54" s="6" t="s">
        <v>306</v>
      </c>
      <c r="G54" s="6"/>
      <c r="H54" s="5" t="n">
        <f aca="false">LEN(F54)</f>
        <v>20</v>
      </c>
      <c r="I54" s="5" t="n">
        <v>5</v>
      </c>
      <c r="J54" s="5" t="n">
        <v>1</v>
      </c>
      <c r="K54" s="6" t="s">
        <v>14</v>
      </c>
      <c r="L54" s="6" t="s">
        <v>136</v>
      </c>
      <c r="M54" s="6"/>
      <c r="N54" s="6" t="s">
        <v>283</v>
      </c>
      <c r="O54" s="6" t="s">
        <v>307</v>
      </c>
      <c r="P54" s="6"/>
    </row>
    <row r="55" customFormat="false" ht="15" hidden="false" customHeight="false" outlineLevel="0" collapsed="false">
      <c r="A55" s="5" t="n">
        <v>54</v>
      </c>
      <c r="B55" s="6" t="s">
        <v>108</v>
      </c>
      <c r="C55" s="6" t="s">
        <v>304</v>
      </c>
      <c r="D55" s="6" t="s">
        <v>305</v>
      </c>
      <c r="E55" s="6" t="s">
        <v>77</v>
      </c>
      <c r="F55" s="6" t="s">
        <v>308</v>
      </c>
      <c r="G55" s="6"/>
      <c r="H55" s="5" t="n">
        <f aca="false">LEN(F55)</f>
        <v>19</v>
      </c>
      <c r="I55" s="5" t="n">
        <v>5</v>
      </c>
      <c r="J55" s="5" t="n">
        <v>1</v>
      </c>
      <c r="K55" s="6" t="s">
        <v>14</v>
      </c>
      <c r="L55" s="6" t="s">
        <v>136</v>
      </c>
      <c r="M55" s="6"/>
      <c r="N55" s="6" t="s">
        <v>283</v>
      </c>
      <c r="O55" s="6" t="s">
        <v>309</v>
      </c>
      <c r="P55" s="6"/>
    </row>
    <row r="56" customFormat="false" ht="15" hidden="false" customHeight="false" outlineLevel="0" collapsed="false">
      <c r="A56" s="5" t="n">
        <v>55</v>
      </c>
      <c r="B56" s="6" t="s">
        <v>310</v>
      </c>
      <c r="C56" s="6" t="s">
        <v>311</v>
      </c>
      <c r="D56" s="6" t="s">
        <v>134</v>
      </c>
      <c r="E56" s="6" t="s">
        <v>77</v>
      </c>
      <c r="F56" s="6" t="s">
        <v>312</v>
      </c>
      <c r="G56" s="6"/>
      <c r="H56" s="5" t="n">
        <f aca="false">LEN(F56)</f>
        <v>4</v>
      </c>
      <c r="I56" s="5" t="n">
        <v>4</v>
      </c>
      <c r="J56" s="5" t="n">
        <v>2</v>
      </c>
      <c r="K56" s="6" t="s">
        <v>14</v>
      </c>
      <c r="L56" s="6" t="s">
        <v>313</v>
      </c>
      <c r="M56" s="6"/>
      <c r="N56" s="6" t="s">
        <v>283</v>
      </c>
      <c r="O56" s="6" t="s">
        <v>309</v>
      </c>
      <c r="P56" s="6"/>
    </row>
    <row r="57" customFormat="false" ht="35.05" hidden="false" customHeight="false" outlineLevel="0" collapsed="false">
      <c r="A57" s="5" t="n">
        <v>56</v>
      </c>
      <c r="B57" s="6" t="s">
        <v>278</v>
      </c>
      <c r="C57" s="6" t="s">
        <v>314</v>
      </c>
      <c r="D57" s="6" t="s">
        <v>315</v>
      </c>
      <c r="E57" s="6" t="s">
        <v>77</v>
      </c>
      <c r="F57" s="6" t="s">
        <v>316</v>
      </c>
      <c r="G57" s="6" t="s">
        <v>317</v>
      </c>
      <c r="H57" s="5" t="n">
        <f aca="false">LEN(F57)</f>
        <v>29</v>
      </c>
      <c r="I57" s="5" t="n">
        <v>4</v>
      </c>
      <c r="J57" s="5" t="n">
        <v>5</v>
      </c>
      <c r="K57" s="6" t="s">
        <v>43</v>
      </c>
      <c r="L57" s="6" t="s">
        <v>318</v>
      </c>
      <c r="M57" s="6" t="s">
        <v>319</v>
      </c>
      <c r="N57" s="6" t="s">
        <v>283</v>
      </c>
      <c r="O57" s="6" t="s">
        <v>320</v>
      </c>
      <c r="P57" s="6"/>
    </row>
    <row r="58" customFormat="false" ht="15" hidden="false" customHeight="false" outlineLevel="0" collapsed="false">
      <c r="A58" s="5" t="n">
        <v>57</v>
      </c>
      <c r="B58" s="6" t="s">
        <v>278</v>
      </c>
      <c r="C58" s="6" t="s">
        <v>314</v>
      </c>
      <c r="D58" s="6" t="s">
        <v>321</v>
      </c>
      <c r="E58" s="6" t="s">
        <v>77</v>
      </c>
      <c r="F58" s="6" t="s">
        <v>322</v>
      </c>
      <c r="G58" s="6" t="s">
        <v>323</v>
      </c>
      <c r="H58" s="5" t="n">
        <f aca="false">LEN(F58)</f>
        <v>33</v>
      </c>
      <c r="I58" s="5" t="n">
        <v>4</v>
      </c>
      <c r="J58" s="5" t="n">
        <v>5</v>
      </c>
      <c r="K58" s="6" t="s">
        <v>43</v>
      </c>
      <c r="L58" s="6" t="s">
        <v>324</v>
      </c>
      <c r="M58" s="6" t="s">
        <v>325</v>
      </c>
      <c r="N58" s="6" t="s">
        <v>283</v>
      </c>
      <c r="O58" s="6" t="s">
        <v>320</v>
      </c>
      <c r="P58" s="6"/>
    </row>
    <row r="59" customFormat="false" ht="35.05" hidden="false" customHeight="false" outlineLevel="0" collapsed="false">
      <c r="A59" s="5" t="n">
        <v>58</v>
      </c>
      <c r="B59" s="6" t="s">
        <v>278</v>
      </c>
      <c r="C59" s="6" t="s">
        <v>326</v>
      </c>
      <c r="D59" s="6" t="s">
        <v>327</v>
      </c>
      <c r="E59" s="6" t="s">
        <v>77</v>
      </c>
      <c r="F59" s="6" t="s">
        <v>328</v>
      </c>
      <c r="G59" s="6" t="s">
        <v>329</v>
      </c>
      <c r="H59" s="5" t="n">
        <f aca="false">LEN(F59)</f>
        <v>31</v>
      </c>
      <c r="I59" s="5" t="n">
        <v>5</v>
      </c>
      <c r="J59" s="5" t="n">
        <v>4</v>
      </c>
      <c r="K59" s="6" t="s">
        <v>12</v>
      </c>
      <c r="L59" s="6" t="s">
        <v>330</v>
      </c>
      <c r="M59" s="6"/>
      <c r="N59" s="6" t="s">
        <v>283</v>
      </c>
      <c r="O59" s="6" t="s">
        <v>331</v>
      </c>
      <c r="P59" s="6" t="s">
        <v>332</v>
      </c>
    </row>
    <row r="60" customFormat="false" ht="35.05" hidden="false" customHeight="false" outlineLevel="0" collapsed="false">
      <c r="A60" s="5" t="n">
        <v>59</v>
      </c>
      <c r="B60" s="6" t="s">
        <v>278</v>
      </c>
      <c r="C60" s="6" t="s">
        <v>333</v>
      </c>
      <c r="D60" s="6" t="s">
        <v>334</v>
      </c>
      <c r="E60" s="6" t="s">
        <v>77</v>
      </c>
      <c r="F60" s="6" t="s">
        <v>335</v>
      </c>
      <c r="G60" s="6" t="s">
        <v>336</v>
      </c>
      <c r="H60" s="5" t="n">
        <f aca="false">LEN(F60)</f>
        <v>22</v>
      </c>
      <c r="I60" s="5" t="n">
        <v>5</v>
      </c>
      <c r="J60" s="5" t="n">
        <v>5</v>
      </c>
      <c r="K60" s="6" t="s">
        <v>12</v>
      </c>
      <c r="L60" s="6" t="s">
        <v>337</v>
      </c>
      <c r="M60" s="6"/>
      <c r="N60" s="6" t="s">
        <v>283</v>
      </c>
      <c r="O60" s="6" t="s">
        <v>338</v>
      </c>
      <c r="P60" s="6" t="s">
        <v>339</v>
      </c>
    </row>
    <row r="61" customFormat="false" ht="15" hidden="false" customHeight="false" outlineLevel="0" collapsed="false">
      <c r="A61" s="5" t="n">
        <v>60</v>
      </c>
      <c r="B61" s="6" t="s">
        <v>278</v>
      </c>
      <c r="C61" s="6" t="s">
        <v>340</v>
      </c>
      <c r="D61" s="6" t="s">
        <v>341</v>
      </c>
      <c r="E61" s="6" t="s">
        <v>77</v>
      </c>
      <c r="F61" s="6" t="s">
        <v>342</v>
      </c>
      <c r="G61" s="6" t="s">
        <v>343</v>
      </c>
      <c r="H61" s="5" t="n">
        <f aca="false">LEN(F61)</f>
        <v>26</v>
      </c>
      <c r="I61" s="5" t="n">
        <v>5</v>
      </c>
      <c r="J61" s="5" t="n">
        <v>2</v>
      </c>
      <c r="K61" s="6" t="s">
        <v>14</v>
      </c>
      <c r="L61" s="6" t="s">
        <v>157</v>
      </c>
      <c r="M61" s="6"/>
      <c r="N61" s="6" t="s">
        <v>283</v>
      </c>
      <c r="O61" s="6" t="s">
        <v>344</v>
      </c>
      <c r="P61" s="6"/>
    </row>
    <row r="62" customFormat="false" ht="23.85" hidden="false" customHeight="false" outlineLevel="0" collapsed="false">
      <c r="A62" s="5" t="n">
        <v>61</v>
      </c>
      <c r="B62" s="6" t="s">
        <v>278</v>
      </c>
      <c r="C62" s="6" t="s">
        <v>340</v>
      </c>
      <c r="D62" s="6" t="s">
        <v>345</v>
      </c>
      <c r="E62" s="6" t="s">
        <v>77</v>
      </c>
      <c r="F62" s="6" t="s">
        <v>346</v>
      </c>
      <c r="G62" s="6" t="s">
        <v>347</v>
      </c>
      <c r="H62" s="5" t="n">
        <f aca="false">LEN(F62)</f>
        <v>28</v>
      </c>
      <c r="I62" s="5" t="n">
        <v>5</v>
      </c>
      <c r="J62" s="5" t="n">
        <v>3</v>
      </c>
      <c r="K62" s="6" t="s">
        <v>14</v>
      </c>
      <c r="L62" s="6" t="s">
        <v>348</v>
      </c>
      <c r="M62" s="6"/>
      <c r="N62" s="6" t="s">
        <v>283</v>
      </c>
      <c r="O62" s="6" t="s">
        <v>349</v>
      </c>
      <c r="P62" s="6"/>
    </row>
    <row r="63" customFormat="false" ht="35.05" hidden="false" customHeight="false" outlineLevel="0" collapsed="false">
      <c r="A63" s="5" t="n">
        <v>62</v>
      </c>
      <c r="B63" s="6" t="s">
        <v>278</v>
      </c>
      <c r="C63" s="6" t="s">
        <v>340</v>
      </c>
      <c r="D63" s="6" t="s">
        <v>350</v>
      </c>
      <c r="E63" s="6" t="s">
        <v>148</v>
      </c>
      <c r="F63" s="6" t="s">
        <v>351</v>
      </c>
      <c r="G63" s="6" t="s">
        <v>352</v>
      </c>
      <c r="H63" s="5" t="n">
        <f aca="false">LEN(F63)</f>
        <v>11</v>
      </c>
      <c r="I63" s="5" t="n">
        <v>5</v>
      </c>
      <c r="J63" s="5" t="n">
        <v>4</v>
      </c>
      <c r="K63" s="6" t="s">
        <v>12</v>
      </c>
      <c r="L63" s="6" t="s">
        <v>353</v>
      </c>
      <c r="M63" s="6"/>
      <c r="N63" s="6" t="s">
        <v>354</v>
      </c>
      <c r="O63" s="6" t="s">
        <v>355</v>
      </c>
      <c r="P63" s="6"/>
    </row>
    <row r="64" customFormat="false" ht="23.85" hidden="false" customHeight="false" outlineLevel="0" collapsed="false">
      <c r="A64" s="5" t="n">
        <v>63</v>
      </c>
      <c r="B64" s="6" t="s">
        <v>278</v>
      </c>
      <c r="C64" s="6" t="s">
        <v>340</v>
      </c>
      <c r="D64" s="6" t="s">
        <v>350</v>
      </c>
      <c r="E64" s="6" t="s">
        <v>148</v>
      </c>
      <c r="F64" s="6" t="s">
        <v>356</v>
      </c>
      <c r="G64" s="6"/>
      <c r="H64" s="5" t="n">
        <f aca="false">LEN(F64)</f>
        <v>15</v>
      </c>
      <c r="I64" s="5" t="n">
        <v>3</v>
      </c>
      <c r="J64" s="5" t="n">
        <v>5</v>
      </c>
      <c r="K64" s="6" t="s">
        <v>43</v>
      </c>
      <c r="L64" s="6" t="s">
        <v>357</v>
      </c>
      <c r="M64" s="6" t="s">
        <v>358</v>
      </c>
      <c r="N64" s="6" t="s">
        <v>354</v>
      </c>
      <c r="O64" s="6" t="s">
        <v>359</v>
      </c>
      <c r="P64" s="6"/>
    </row>
    <row r="65" customFormat="false" ht="23.85" hidden="false" customHeight="false" outlineLevel="0" collapsed="false">
      <c r="A65" s="5" t="n">
        <v>64</v>
      </c>
      <c r="B65" s="6" t="s">
        <v>108</v>
      </c>
      <c r="C65" s="6" t="s">
        <v>360</v>
      </c>
      <c r="D65" s="6" t="s">
        <v>350</v>
      </c>
      <c r="E65" s="6" t="s">
        <v>148</v>
      </c>
      <c r="F65" s="6" t="s">
        <v>361</v>
      </c>
      <c r="G65" s="6"/>
      <c r="H65" s="5" t="n">
        <f aca="false">LEN(F65)</f>
        <v>40</v>
      </c>
      <c r="I65" s="5" t="n">
        <v>5</v>
      </c>
      <c r="J65" s="5" t="n">
        <v>4</v>
      </c>
      <c r="K65" s="6" t="s">
        <v>12</v>
      </c>
      <c r="L65" s="6" t="s">
        <v>362</v>
      </c>
      <c r="M65" s="6"/>
      <c r="N65" s="6" t="s">
        <v>354</v>
      </c>
      <c r="O65" s="6" t="s">
        <v>363</v>
      </c>
      <c r="P65" s="6"/>
    </row>
    <row r="66" customFormat="false" ht="23.85" hidden="false" customHeight="false" outlineLevel="0" collapsed="false">
      <c r="A66" s="5" t="n">
        <v>65</v>
      </c>
      <c r="B66" s="6" t="s">
        <v>278</v>
      </c>
      <c r="C66" s="6" t="s">
        <v>340</v>
      </c>
      <c r="D66" s="6" t="s">
        <v>350</v>
      </c>
      <c r="E66" s="6" t="s">
        <v>148</v>
      </c>
      <c r="F66" s="6" t="s">
        <v>364</v>
      </c>
      <c r="G66" s="6"/>
      <c r="H66" s="5" t="n">
        <f aca="false">LEN(F66)</f>
        <v>20</v>
      </c>
      <c r="I66" s="5" t="n">
        <v>3</v>
      </c>
      <c r="J66" s="5" t="n">
        <v>1</v>
      </c>
      <c r="K66" s="6" t="s">
        <v>14</v>
      </c>
      <c r="L66" s="6" t="s">
        <v>365</v>
      </c>
      <c r="M66" s="6"/>
      <c r="N66" s="6" t="s">
        <v>354</v>
      </c>
      <c r="O66" s="6" t="s">
        <v>366</v>
      </c>
      <c r="P66" s="6"/>
    </row>
    <row r="67" customFormat="false" ht="23.85" hidden="false" customHeight="false" outlineLevel="0" collapsed="false">
      <c r="A67" s="5" t="n">
        <v>66</v>
      </c>
      <c r="B67" s="6" t="s">
        <v>278</v>
      </c>
      <c r="C67" s="6" t="s">
        <v>367</v>
      </c>
      <c r="D67" s="6" t="s">
        <v>368</v>
      </c>
      <c r="E67" s="6" t="s">
        <v>77</v>
      </c>
      <c r="F67" s="6" t="s">
        <v>369</v>
      </c>
      <c r="G67" s="6"/>
      <c r="H67" s="5" t="n">
        <f aca="false">LEN(F67)</f>
        <v>33</v>
      </c>
      <c r="I67" s="5" t="n">
        <v>3</v>
      </c>
      <c r="J67" s="5" t="n">
        <v>4</v>
      </c>
      <c r="K67" s="6" t="s">
        <v>43</v>
      </c>
      <c r="L67" s="6" t="s">
        <v>370</v>
      </c>
      <c r="M67" s="6" t="s">
        <v>371</v>
      </c>
      <c r="N67" s="6" t="s">
        <v>283</v>
      </c>
      <c r="O67" s="6" t="s">
        <v>372</v>
      </c>
      <c r="P67" s="6" t="s">
        <v>373</v>
      </c>
    </row>
    <row r="68" customFormat="false" ht="23.85" hidden="false" customHeight="false" outlineLevel="0" collapsed="false">
      <c r="A68" s="5" t="n">
        <v>67</v>
      </c>
      <c r="B68" s="6" t="s">
        <v>278</v>
      </c>
      <c r="C68" s="6" t="s">
        <v>374</v>
      </c>
      <c r="D68" s="6" t="s">
        <v>375</v>
      </c>
      <c r="E68" s="6" t="s">
        <v>77</v>
      </c>
      <c r="F68" s="6" t="s">
        <v>376</v>
      </c>
      <c r="G68" s="6" t="s">
        <v>377</v>
      </c>
      <c r="H68" s="5" t="n">
        <f aca="false">LEN(F68)</f>
        <v>37</v>
      </c>
      <c r="I68" s="5" t="n">
        <v>5</v>
      </c>
      <c r="J68" s="5" t="n">
        <v>2</v>
      </c>
      <c r="K68" s="6" t="s">
        <v>14</v>
      </c>
      <c r="L68" s="6" t="s">
        <v>378</v>
      </c>
      <c r="M68" s="6"/>
      <c r="N68" s="6" t="s">
        <v>283</v>
      </c>
      <c r="O68" s="6" t="s">
        <v>379</v>
      </c>
      <c r="P68" s="6"/>
    </row>
    <row r="69" customFormat="false" ht="23.85" hidden="false" customHeight="false" outlineLevel="0" collapsed="false">
      <c r="A69" s="5" t="n">
        <v>68</v>
      </c>
      <c r="B69" s="6" t="s">
        <v>278</v>
      </c>
      <c r="C69" s="6" t="s">
        <v>374</v>
      </c>
      <c r="D69" s="6" t="s">
        <v>380</v>
      </c>
      <c r="E69" s="6" t="s">
        <v>148</v>
      </c>
      <c r="F69" s="6" t="s">
        <v>381</v>
      </c>
      <c r="G69" s="6"/>
      <c r="H69" s="5" t="n">
        <f aca="false">LEN(F69)</f>
        <v>16</v>
      </c>
      <c r="I69" s="5" t="n">
        <v>5</v>
      </c>
      <c r="J69" s="5" t="n">
        <v>3</v>
      </c>
      <c r="K69" s="6" t="s">
        <v>14</v>
      </c>
      <c r="L69" s="6" t="s">
        <v>382</v>
      </c>
      <c r="M69" s="6"/>
      <c r="N69" s="6" t="s">
        <v>283</v>
      </c>
      <c r="O69" s="6" t="s">
        <v>383</v>
      </c>
      <c r="P69" s="6"/>
    </row>
    <row r="70" customFormat="false" ht="15" hidden="false" customHeight="false" outlineLevel="0" collapsed="false">
      <c r="A70" s="5" t="n">
        <v>69</v>
      </c>
      <c r="B70" s="6" t="s">
        <v>278</v>
      </c>
      <c r="C70" s="6" t="s">
        <v>384</v>
      </c>
      <c r="D70" s="6" t="s">
        <v>385</v>
      </c>
      <c r="E70" s="6" t="s">
        <v>77</v>
      </c>
      <c r="F70" s="6" t="s">
        <v>386</v>
      </c>
      <c r="G70" s="6"/>
      <c r="H70" s="5" t="n">
        <f aca="false">LEN(F70)</f>
        <v>21</v>
      </c>
      <c r="I70" s="5" t="n">
        <v>5</v>
      </c>
      <c r="J70" s="5" t="n">
        <v>3</v>
      </c>
      <c r="K70" s="6" t="s">
        <v>14</v>
      </c>
      <c r="L70" s="6" t="s">
        <v>387</v>
      </c>
      <c r="M70" s="6"/>
      <c r="N70" s="6" t="s">
        <v>283</v>
      </c>
      <c r="O70" s="6" t="s">
        <v>388</v>
      </c>
      <c r="P70" s="6"/>
    </row>
    <row r="71" customFormat="false" ht="35.05" hidden="false" customHeight="false" outlineLevel="0" collapsed="false">
      <c r="A71" s="5" t="n">
        <v>70</v>
      </c>
      <c r="B71" s="6" t="s">
        <v>278</v>
      </c>
      <c r="C71" s="6" t="s">
        <v>340</v>
      </c>
      <c r="D71" s="6" t="s">
        <v>389</v>
      </c>
      <c r="E71" s="6" t="s">
        <v>77</v>
      </c>
      <c r="F71" s="6" t="s">
        <v>390</v>
      </c>
      <c r="G71" s="6"/>
      <c r="H71" s="5" t="n">
        <f aca="false">LEN(F71)</f>
        <v>33</v>
      </c>
      <c r="I71" s="5" t="n">
        <v>2</v>
      </c>
      <c r="J71" s="5" t="n">
        <v>4</v>
      </c>
      <c r="K71" s="6" t="s">
        <v>43</v>
      </c>
      <c r="L71" s="6" t="s">
        <v>391</v>
      </c>
      <c r="M71" s="6" t="s">
        <v>392</v>
      </c>
      <c r="N71" s="6" t="s">
        <v>283</v>
      </c>
      <c r="O71" s="6" t="s">
        <v>393</v>
      </c>
      <c r="P71" s="6"/>
    </row>
    <row r="72" customFormat="false" ht="23.85" hidden="false" customHeight="false" outlineLevel="0" collapsed="false">
      <c r="A72" s="5" t="n">
        <v>71</v>
      </c>
      <c r="B72" s="6" t="s">
        <v>278</v>
      </c>
      <c r="C72" s="6" t="s">
        <v>340</v>
      </c>
      <c r="D72" s="6" t="s">
        <v>394</v>
      </c>
      <c r="E72" s="6" t="s">
        <v>77</v>
      </c>
      <c r="F72" s="6" t="s">
        <v>395</v>
      </c>
      <c r="G72" s="6"/>
      <c r="H72" s="5" t="n">
        <f aca="false">LEN(F72)</f>
        <v>40</v>
      </c>
      <c r="I72" s="5" t="n">
        <v>2</v>
      </c>
      <c r="J72" s="5" t="n">
        <v>3</v>
      </c>
      <c r="K72" s="6" t="s">
        <v>14</v>
      </c>
      <c r="L72" s="6" t="s">
        <v>396</v>
      </c>
      <c r="M72" s="6"/>
      <c r="N72" s="6" t="s">
        <v>283</v>
      </c>
      <c r="O72" s="6" t="s">
        <v>397</v>
      </c>
      <c r="P72" s="6"/>
    </row>
    <row r="73" customFormat="false" ht="15" hidden="false" customHeight="false" outlineLevel="0" collapsed="false">
      <c r="A73" s="5" t="n">
        <v>72</v>
      </c>
      <c r="B73" s="6" t="s">
        <v>278</v>
      </c>
      <c r="C73" s="6" t="s">
        <v>398</v>
      </c>
      <c r="D73" s="6" t="s">
        <v>399</v>
      </c>
      <c r="E73" s="6" t="s">
        <v>77</v>
      </c>
      <c r="F73" s="6" t="s">
        <v>400</v>
      </c>
      <c r="G73" s="6"/>
      <c r="H73" s="5" t="n">
        <f aca="false">LEN(F73)</f>
        <v>40</v>
      </c>
      <c r="I73" s="5" t="n">
        <v>5</v>
      </c>
      <c r="J73" s="5" t="n">
        <v>2</v>
      </c>
      <c r="K73" s="6" t="s">
        <v>14</v>
      </c>
      <c r="L73" s="6" t="s">
        <v>157</v>
      </c>
      <c r="M73" s="6"/>
      <c r="N73" s="6" t="s">
        <v>283</v>
      </c>
      <c r="O73" s="6" t="s">
        <v>401</v>
      </c>
      <c r="P73" s="6"/>
    </row>
    <row r="74" customFormat="false" ht="23.85" hidden="false" customHeight="false" outlineLevel="0" collapsed="false">
      <c r="A74" s="5" t="n">
        <v>73</v>
      </c>
      <c r="B74" s="6" t="s">
        <v>278</v>
      </c>
      <c r="C74" s="6" t="s">
        <v>398</v>
      </c>
      <c r="D74" s="6" t="s">
        <v>402</v>
      </c>
      <c r="E74" s="6" t="s">
        <v>148</v>
      </c>
      <c r="F74" s="6" t="s">
        <v>356</v>
      </c>
      <c r="G74" s="6"/>
      <c r="H74" s="5" t="n">
        <f aca="false">LEN(F74)</f>
        <v>15</v>
      </c>
      <c r="I74" s="5" t="n">
        <v>5</v>
      </c>
      <c r="J74" s="5" t="n">
        <v>3</v>
      </c>
      <c r="K74" s="6" t="s">
        <v>14</v>
      </c>
      <c r="L74" s="6" t="s">
        <v>403</v>
      </c>
      <c r="M74" s="6"/>
      <c r="N74" s="6" t="s">
        <v>283</v>
      </c>
      <c r="O74" s="6" t="s">
        <v>401</v>
      </c>
      <c r="P74" s="6"/>
    </row>
    <row r="75" customFormat="false" ht="23.85" hidden="false" customHeight="false" outlineLevel="0" collapsed="false">
      <c r="A75" s="5" t="n">
        <v>74</v>
      </c>
      <c r="B75" s="6" t="s">
        <v>278</v>
      </c>
      <c r="C75" s="6" t="s">
        <v>404</v>
      </c>
      <c r="D75" s="6" t="s">
        <v>405</v>
      </c>
      <c r="E75" s="6" t="s">
        <v>77</v>
      </c>
      <c r="F75" s="6" t="s">
        <v>406</v>
      </c>
      <c r="G75" s="6"/>
      <c r="H75" s="5" t="n">
        <f aca="false">LEN(F75)</f>
        <v>21</v>
      </c>
      <c r="I75" s="5" t="n">
        <v>5</v>
      </c>
      <c r="J75" s="5" t="n">
        <v>3</v>
      </c>
      <c r="K75" s="6" t="s">
        <v>14</v>
      </c>
      <c r="L75" s="6" t="s">
        <v>407</v>
      </c>
      <c r="M75" s="6"/>
      <c r="N75" s="6" t="s">
        <v>283</v>
      </c>
      <c r="O75" s="6" t="s">
        <v>408</v>
      </c>
      <c r="P75" s="6"/>
    </row>
    <row r="76" customFormat="false" ht="15" hidden="false" customHeight="false" outlineLevel="0" collapsed="false">
      <c r="A76" s="5" t="n">
        <v>75</v>
      </c>
      <c r="B76" s="6" t="s">
        <v>278</v>
      </c>
      <c r="C76" s="6" t="s">
        <v>409</v>
      </c>
      <c r="D76" s="6" t="s">
        <v>410</v>
      </c>
      <c r="E76" s="6" t="s">
        <v>77</v>
      </c>
      <c r="F76" s="6" t="s">
        <v>411</v>
      </c>
      <c r="G76" s="6"/>
      <c r="H76" s="5" t="n">
        <f aca="false">LEN(F76)</f>
        <v>21</v>
      </c>
      <c r="I76" s="5" t="n">
        <v>5</v>
      </c>
      <c r="J76" s="5" t="n">
        <v>3</v>
      </c>
      <c r="K76" s="6" t="s">
        <v>14</v>
      </c>
      <c r="L76" s="6" t="s">
        <v>412</v>
      </c>
      <c r="M76" s="6"/>
      <c r="N76" s="6" t="s">
        <v>283</v>
      </c>
      <c r="O76" s="6" t="s">
        <v>413</v>
      </c>
      <c r="P76" s="6"/>
    </row>
    <row r="77" customFormat="false" ht="15" hidden="false" customHeight="false" outlineLevel="0" collapsed="false">
      <c r="A77" s="5" t="n">
        <v>76</v>
      </c>
      <c r="B77" s="6" t="s">
        <v>278</v>
      </c>
      <c r="C77" s="6" t="s">
        <v>414</v>
      </c>
      <c r="D77" s="6" t="s">
        <v>415</v>
      </c>
      <c r="E77" s="6" t="s">
        <v>77</v>
      </c>
      <c r="F77" s="6" t="s">
        <v>416</v>
      </c>
      <c r="G77" s="6"/>
      <c r="H77" s="5" t="n">
        <f aca="false">LEN(F77)</f>
        <v>23</v>
      </c>
      <c r="I77" s="5" t="n">
        <v>5</v>
      </c>
      <c r="J77" s="5" t="n">
        <v>3</v>
      </c>
      <c r="K77" s="6" t="s">
        <v>14</v>
      </c>
      <c r="L77" s="6" t="s">
        <v>417</v>
      </c>
      <c r="M77" s="6"/>
      <c r="N77" s="6" t="s">
        <v>283</v>
      </c>
      <c r="O77" s="6" t="s">
        <v>418</v>
      </c>
      <c r="P77" s="6"/>
    </row>
    <row r="78" customFormat="false" ht="15" hidden="false" customHeight="false" outlineLevel="0" collapsed="false">
      <c r="A78" s="5" t="n">
        <v>77</v>
      </c>
      <c r="B78" s="6" t="s">
        <v>278</v>
      </c>
      <c r="C78" s="6" t="s">
        <v>414</v>
      </c>
      <c r="D78" s="6" t="s">
        <v>415</v>
      </c>
      <c r="E78" s="6" t="s">
        <v>77</v>
      </c>
      <c r="F78" s="6" t="s">
        <v>419</v>
      </c>
      <c r="G78" s="6"/>
      <c r="H78" s="5" t="n">
        <f aca="false">LEN(F78)</f>
        <v>23</v>
      </c>
      <c r="I78" s="5" t="n">
        <v>5</v>
      </c>
      <c r="J78" s="5" t="n">
        <v>3</v>
      </c>
      <c r="K78" s="6" t="s">
        <v>14</v>
      </c>
      <c r="L78" s="6" t="s">
        <v>420</v>
      </c>
      <c r="M78" s="6"/>
      <c r="N78" s="6" t="s">
        <v>283</v>
      </c>
      <c r="O78" s="6" t="s">
        <v>418</v>
      </c>
      <c r="P78" s="6"/>
    </row>
    <row r="79" customFormat="false" ht="23.85" hidden="false" customHeight="false" outlineLevel="0" collapsed="false">
      <c r="A79" s="5" t="n">
        <v>78</v>
      </c>
      <c r="B79" s="6" t="s">
        <v>310</v>
      </c>
      <c r="C79" s="6" t="s">
        <v>421</v>
      </c>
      <c r="D79" s="6" t="s">
        <v>422</v>
      </c>
      <c r="E79" s="6" t="s">
        <v>148</v>
      </c>
      <c r="F79" s="6" t="s">
        <v>423</v>
      </c>
      <c r="G79" s="6"/>
      <c r="H79" s="5" t="n">
        <f aca="false">LEN(F79)</f>
        <v>28</v>
      </c>
      <c r="I79" s="5" t="n">
        <v>4</v>
      </c>
      <c r="J79" s="5" t="n">
        <v>4</v>
      </c>
      <c r="K79" s="6" t="s">
        <v>12</v>
      </c>
      <c r="L79" s="6" t="s">
        <v>424</v>
      </c>
      <c r="M79" s="6"/>
      <c r="N79" s="6" t="s">
        <v>283</v>
      </c>
      <c r="O79" s="6" t="s">
        <v>425</v>
      </c>
      <c r="P79" s="6"/>
    </row>
    <row r="80" customFormat="false" ht="23.85" hidden="false" customHeight="false" outlineLevel="0" collapsed="false">
      <c r="A80" s="5" t="n">
        <v>79</v>
      </c>
      <c r="B80" s="6" t="s">
        <v>310</v>
      </c>
      <c r="C80" s="6" t="s">
        <v>421</v>
      </c>
      <c r="D80" s="6" t="s">
        <v>422</v>
      </c>
      <c r="E80" s="6" t="s">
        <v>148</v>
      </c>
      <c r="F80" s="6" t="s">
        <v>426</v>
      </c>
      <c r="G80" s="6"/>
      <c r="H80" s="5" t="n">
        <f aca="false">LEN(F80)</f>
        <v>19</v>
      </c>
      <c r="I80" s="5" t="n">
        <v>4</v>
      </c>
      <c r="J80" s="5" t="n">
        <v>4</v>
      </c>
      <c r="K80" s="6" t="s">
        <v>43</v>
      </c>
      <c r="L80" s="6" t="s">
        <v>427</v>
      </c>
      <c r="M80" s="6" t="s">
        <v>428</v>
      </c>
      <c r="N80" s="6" t="s">
        <v>283</v>
      </c>
      <c r="O80" s="6" t="s">
        <v>429</v>
      </c>
      <c r="P80" s="6"/>
    </row>
    <row r="81" customFormat="false" ht="23.85" hidden="false" customHeight="false" outlineLevel="0" collapsed="false">
      <c r="A81" s="5" t="n">
        <v>80</v>
      </c>
      <c r="B81" s="6" t="s">
        <v>310</v>
      </c>
      <c r="C81" s="6" t="s">
        <v>421</v>
      </c>
      <c r="D81" s="6" t="s">
        <v>430</v>
      </c>
      <c r="E81" s="6" t="s">
        <v>77</v>
      </c>
      <c r="F81" s="6" t="s">
        <v>431</v>
      </c>
      <c r="G81" s="6"/>
      <c r="H81" s="5" t="n">
        <f aca="false">LEN(F81)</f>
        <v>39</v>
      </c>
      <c r="I81" s="5" t="n">
        <v>4</v>
      </c>
      <c r="J81" s="5" t="n">
        <v>2</v>
      </c>
      <c r="K81" s="6" t="s">
        <v>14</v>
      </c>
      <c r="L81" s="6" t="s">
        <v>432</v>
      </c>
      <c r="M81" s="6"/>
      <c r="N81" s="6" t="s">
        <v>283</v>
      </c>
      <c r="O81" s="6" t="s">
        <v>429</v>
      </c>
      <c r="P81" s="6"/>
    </row>
    <row r="82" customFormat="false" ht="35.05" hidden="false" customHeight="false" outlineLevel="0" collapsed="false">
      <c r="A82" s="5" t="n">
        <v>81</v>
      </c>
      <c r="B82" s="6" t="s">
        <v>278</v>
      </c>
      <c r="C82" s="6" t="s">
        <v>404</v>
      </c>
      <c r="D82" s="6" t="s">
        <v>433</v>
      </c>
      <c r="E82" s="6" t="s">
        <v>224</v>
      </c>
      <c r="F82" s="6" t="s">
        <v>434</v>
      </c>
      <c r="G82" s="6"/>
      <c r="H82" s="5" t="n">
        <f aca="false">LEN(F82)</f>
        <v>56</v>
      </c>
      <c r="I82" s="5" t="n">
        <v>5</v>
      </c>
      <c r="J82" s="5" t="n">
        <v>1</v>
      </c>
      <c r="K82" s="6" t="s">
        <v>14</v>
      </c>
      <c r="L82" s="6" t="s">
        <v>435</v>
      </c>
      <c r="M82" s="6"/>
      <c r="N82" s="6" t="s">
        <v>436</v>
      </c>
      <c r="O82" s="6" t="s">
        <v>437</v>
      </c>
      <c r="P82" s="6"/>
    </row>
    <row r="83" customFormat="false" ht="23.85" hidden="false" customHeight="false" outlineLevel="0" collapsed="false">
      <c r="A83" s="5" t="n">
        <v>82</v>
      </c>
      <c r="B83" s="6" t="s">
        <v>278</v>
      </c>
      <c r="C83" s="6" t="s">
        <v>404</v>
      </c>
      <c r="D83" s="6" t="s">
        <v>438</v>
      </c>
      <c r="E83" s="6" t="s">
        <v>224</v>
      </c>
      <c r="F83" s="6" t="s">
        <v>439</v>
      </c>
      <c r="G83" s="6" t="s">
        <v>440</v>
      </c>
      <c r="H83" s="5" t="n">
        <f aca="false">LEN(F83)</f>
        <v>19</v>
      </c>
      <c r="I83" s="5" t="n">
        <v>5</v>
      </c>
      <c r="J83" s="5" t="n">
        <v>1</v>
      </c>
      <c r="K83" s="6" t="s">
        <v>14</v>
      </c>
      <c r="L83" s="6" t="s">
        <v>441</v>
      </c>
      <c r="M83" s="6"/>
      <c r="N83" s="6" t="s">
        <v>283</v>
      </c>
      <c r="O83" s="6" t="s">
        <v>442</v>
      </c>
      <c r="P83" s="6"/>
    </row>
    <row r="84" customFormat="false" ht="23.85" hidden="false" customHeight="false" outlineLevel="0" collapsed="false">
      <c r="A84" s="5" t="n">
        <v>83</v>
      </c>
      <c r="B84" s="6" t="s">
        <v>278</v>
      </c>
      <c r="C84" s="6" t="s">
        <v>443</v>
      </c>
      <c r="D84" s="6" t="s">
        <v>444</v>
      </c>
      <c r="E84" s="6" t="s">
        <v>224</v>
      </c>
      <c r="F84" s="6" t="s">
        <v>445</v>
      </c>
      <c r="G84" s="6" t="s">
        <v>446</v>
      </c>
      <c r="H84" s="5" t="n">
        <f aca="false">LEN(F84)</f>
        <v>17</v>
      </c>
      <c r="I84" s="5" t="n">
        <v>5</v>
      </c>
      <c r="J84" s="5" t="n">
        <v>1</v>
      </c>
      <c r="K84" s="6" t="s">
        <v>14</v>
      </c>
      <c r="L84" s="6" t="s">
        <v>447</v>
      </c>
      <c r="M84" s="6"/>
      <c r="N84" s="6" t="s">
        <v>448</v>
      </c>
      <c r="O84" s="6" t="s">
        <v>449</v>
      </c>
      <c r="P84" s="6"/>
    </row>
    <row r="85" customFormat="false" ht="23.85" hidden="false" customHeight="false" outlineLevel="0" collapsed="false">
      <c r="A85" s="5" t="n">
        <v>84</v>
      </c>
      <c r="B85" s="6" t="s">
        <v>96</v>
      </c>
      <c r="C85" s="6" t="s">
        <v>450</v>
      </c>
      <c r="D85" s="6" t="s">
        <v>451</v>
      </c>
      <c r="E85" s="6" t="s">
        <v>224</v>
      </c>
      <c r="F85" s="6" t="s">
        <v>452</v>
      </c>
      <c r="G85" s="6"/>
      <c r="H85" s="5" t="n">
        <f aca="false">LEN(F85)</f>
        <v>13</v>
      </c>
      <c r="I85" s="5" t="n">
        <v>5</v>
      </c>
      <c r="J85" s="5" t="n">
        <v>1</v>
      </c>
      <c r="K85" s="6" t="s">
        <v>14</v>
      </c>
      <c r="L85" s="6" t="s">
        <v>453</v>
      </c>
      <c r="M85" s="6"/>
      <c r="N85" s="6" t="s">
        <v>448</v>
      </c>
      <c r="O85" s="6" t="s">
        <v>454</v>
      </c>
      <c r="P85" s="6"/>
    </row>
    <row r="86" customFormat="false" ht="23.85" hidden="false" customHeight="false" outlineLevel="0" collapsed="false">
      <c r="A86" s="5" t="n">
        <v>85</v>
      </c>
      <c r="B86" s="6" t="s">
        <v>78</v>
      </c>
      <c r="C86" s="6" t="s">
        <v>78</v>
      </c>
      <c r="D86" s="6" t="s">
        <v>455</v>
      </c>
      <c r="E86" s="6" t="s">
        <v>224</v>
      </c>
      <c r="F86" s="6" t="s">
        <v>456</v>
      </c>
      <c r="G86" s="6"/>
      <c r="H86" s="5" t="n">
        <f aca="false">LEN(F86)</f>
        <v>17</v>
      </c>
      <c r="I86" s="5" t="n">
        <v>5</v>
      </c>
      <c r="J86" s="5" t="n">
        <v>1</v>
      </c>
      <c r="K86" s="6" t="s">
        <v>14</v>
      </c>
      <c r="L86" s="6" t="s">
        <v>457</v>
      </c>
      <c r="M86" s="6"/>
      <c r="N86" s="6" t="s">
        <v>448</v>
      </c>
      <c r="O86" s="6" t="s">
        <v>458</v>
      </c>
      <c r="P86" s="6"/>
    </row>
    <row r="87" customFormat="false" ht="35.05" hidden="false" customHeight="false" outlineLevel="0" collapsed="false">
      <c r="A87" s="5" t="n">
        <v>86</v>
      </c>
      <c r="B87" s="6" t="s">
        <v>459</v>
      </c>
      <c r="C87" s="6" t="s">
        <v>460</v>
      </c>
      <c r="D87" s="6" t="s">
        <v>461</v>
      </c>
      <c r="E87" s="6" t="s">
        <v>224</v>
      </c>
      <c r="F87" s="6" t="s">
        <v>462</v>
      </c>
      <c r="G87" s="6" t="s">
        <v>463</v>
      </c>
      <c r="H87" s="5" t="n">
        <f aca="false">LEN(F87)</f>
        <v>30</v>
      </c>
      <c r="I87" s="5" t="n">
        <v>5</v>
      </c>
      <c r="J87" s="5" t="n">
        <v>1</v>
      </c>
      <c r="K87" s="6" t="s">
        <v>14</v>
      </c>
      <c r="L87" s="6" t="s">
        <v>464</v>
      </c>
      <c r="M87" s="6"/>
      <c r="N87" s="6" t="s">
        <v>465</v>
      </c>
      <c r="O87" s="6" t="s">
        <v>466</v>
      </c>
      <c r="P87" s="6"/>
    </row>
    <row r="88" customFormat="false" ht="23.85" hidden="false" customHeight="false" outlineLevel="0" collapsed="false">
      <c r="A88" s="5" t="n">
        <v>87</v>
      </c>
      <c r="B88" s="6" t="s">
        <v>459</v>
      </c>
      <c r="C88" s="6" t="s">
        <v>467</v>
      </c>
      <c r="D88" s="6" t="s">
        <v>468</v>
      </c>
      <c r="E88" s="6" t="s">
        <v>224</v>
      </c>
      <c r="F88" s="6" t="s">
        <v>469</v>
      </c>
      <c r="G88" s="6"/>
      <c r="H88" s="5" t="n">
        <f aca="false">LEN(F88)</f>
        <v>37</v>
      </c>
      <c r="I88" s="5" t="n">
        <v>5</v>
      </c>
      <c r="J88" s="5" t="n">
        <v>1</v>
      </c>
      <c r="K88" s="6" t="s">
        <v>14</v>
      </c>
      <c r="L88" s="6" t="s">
        <v>470</v>
      </c>
      <c r="M88" s="6"/>
      <c r="N88" s="6" t="s">
        <v>213</v>
      </c>
      <c r="O88" s="6" t="s">
        <v>471</v>
      </c>
      <c r="P88" s="6"/>
    </row>
    <row r="89" customFormat="false" ht="23.85" hidden="false" customHeight="false" outlineLevel="0" collapsed="false">
      <c r="A89" s="5" t="n">
        <v>88</v>
      </c>
      <c r="B89" s="6" t="s">
        <v>459</v>
      </c>
      <c r="C89" s="6" t="s">
        <v>472</v>
      </c>
      <c r="D89" s="6" t="s">
        <v>473</v>
      </c>
      <c r="E89" s="6" t="s">
        <v>224</v>
      </c>
      <c r="F89" s="6" t="s">
        <v>474</v>
      </c>
      <c r="G89" s="6"/>
      <c r="H89" s="5" t="n">
        <f aca="false">LEN(F89)</f>
        <v>40</v>
      </c>
      <c r="I89" s="5" t="n">
        <v>5</v>
      </c>
      <c r="J89" s="5" t="n">
        <v>1</v>
      </c>
      <c r="K89" s="6" t="s">
        <v>14</v>
      </c>
      <c r="L89" s="6" t="s">
        <v>475</v>
      </c>
      <c r="M89" s="6"/>
      <c r="N89" s="6" t="s">
        <v>213</v>
      </c>
      <c r="O89" s="6" t="s">
        <v>476</v>
      </c>
      <c r="P89" s="6"/>
    </row>
    <row r="90" customFormat="false" ht="35.05" hidden="false" customHeight="false" outlineLevel="0" collapsed="false">
      <c r="A90" s="5" t="n">
        <v>89</v>
      </c>
      <c r="B90" s="6" t="s">
        <v>477</v>
      </c>
      <c r="C90" s="6" t="s">
        <v>478</v>
      </c>
      <c r="D90" s="6" t="s">
        <v>479</v>
      </c>
      <c r="E90" s="6" t="s">
        <v>480</v>
      </c>
      <c r="F90" s="6" t="s">
        <v>481</v>
      </c>
      <c r="G90" s="6"/>
      <c r="H90" s="5" t="n">
        <f aca="false">LEN(F90)</f>
        <v>74</v>
      </c>
      <c r="I90" s="5" t="n">
        <v>2</v>
      </c>
      <c r="J90" s="5" t="n">
        <v>5</v>
      </c>
      <c r="K90" s="6" t="s">
        <v>43</v>
      </c>
      <c r="L90" s="6" t="s">
        <v>482</v>
      </c>
      <c r="M90" s="6" t="s">
        <v>483</v>
      </c>
      <c r="N90" s="6" t="s">
        <v>484</v>
      </c>
      <c r="O90" s="6" t="s">
        <v>485</v>
      </c>
      <c r="P90" s="6"/>
    </row>
    <row r="91" customFormat="false" ht="35.05" hidden="false" customHeight="false" outlineLevel="0" collapsed="false">
      <c r="A91" s="5" t="n">
        <v>90</v>
      </c>
      <c r="B91" s="6" t="s">
        <v>477</v>
      </c>
      <c r="C91" s="6" t="s">
        <v>478</v>
      </c>
      <c r="D91" s="6" t="s">
        <v>486</v>
      </c>
      <c r="E91" s="6" t="s">
        <v>480</v>
      </c>
      <c r="F91" s="6" t="s">
        <v>487</v>
      </c>
      <c r="G91" s="6"/>
      <c r="H91" s="5" t="n">
        <f aca="false">LEN(F91)</f>
        <v>38</v>
      </c>
      <c r="I91" s="5" t="n">
        <v>2</v>
      </c>
      <c r="J91" s="5" t="n">
        <v>5</v>
      </c>
      <c r="K91" s="6" t="s">
        <v>43</v>
      </c>
      <c r="L91" s="6" t="s">
        <v>488</v>
      </c>
      <c r="M91" s="6" t="s">
        <v>489</v>
      </c>
      <c r="N91" s="6" t="s">
        <v>484</v>
      </c>
      <c r="O91" s="6" t="s">
        <v>490</v>
      </c>
      <c r="P91" s="6"/>
    </row>
    <row r="92" customFormat="false" ht="23.85" hidden="false" customHeight="false" outlineLevel="0" collapsed="false">
      <c r="A92" s="5" t="n">
        <v>91</v>
      </c>
      <c r="B92" s="6" t="s">
        <v>477</v>
      </c>
      <c r="C92" s="6" t="s">
        <v>478</v>
      </c>
      <c r="D92" s="6" t="s">
        <v>491</v>
      </c>
      <c r="E92" s="6" t="s">
        <v>480</v>
      </c>
      <c r="F92" s="6" t="s">
        <v>492</v>
      </c>
      <c r="G92" s="6"/>
      <c r="H92" s="5" t="n">
        <f aca="false">LEN(F92)</f>
        <v>65</v>
      </c>
      <c r="I92" s="5" t="n">
        <v>2</v>
      </c>
      <c r="J92" s="5" t="n">
        <v>5</v>
      </c>
      <c r="K92" s="6" t="s">
        <v>43</v>
      </c>
      <c r="L92" s="6" t="s">
        <v>493</v>
      </c>
      <c r="M92" s="6" t="s">
        <v>494</v>
      </c>
      <c r="N92" s="6" t="s">
        <v>484</v>
      </c>
      <c r="O92" s="6" t="s">
        <v>495</v>
      </c>
      <c r="P92" s="6"/>
    </row>
    <row r="93" customFormat="false" ht="23.85" hidden="false" customHeight="false" outlineLevel="0" collapsed="false">
      <c r="A93" s="5" t="n">
        <v>92</v>
      </c>
      <c r="B93" s="6" t="s">
        <v>477</v>
      </c>
      <c r="C93" s="6" t="s">
        <v>478</v>
      </c>
      <c r="D93" s="6" t="s">
        <v>496</v>
      </c>
      <c r="E93" s="6" t="s">
        <v>480</v>
      </c>
      <c r="F93" s="6" t="s">
        <v>497</v>
      </c>
      <c r="G93" s="6"/>
      <c r="H93" s="5" t="n">
        <f aca="false">LEN(F93)</f>
        <v>75</v>
      </c>
      <c r="I93" s="5" t="n">
        <v>4</v>
      </c>
      <c r="J93" s="5" t="n">
        <v>5</v>
      </c>
      <c r="K93" s="6" t="s">
        <v>12</v>
      </c>
      <c r="L93" s="6" t="s">
        <v>498</v>
      </c>
      <c r="M93" s="6"/>
      <c r="N93" s="6" t="s">
        <v>484</v>
      </c>
      <c r="O93" s="6" t="s">
        <v>499</v>
      </c>
      <c r="P93" s="6"/>
    </row>
    <row r="94" customFormat="false" ht="23.85" hidden="false" customHeight="false" outlineLevel="0" collapsed="false">
      <c r="A94" s="5" t="n">
        <v>93</v>
      </c>
      <c r="B94" s="6" t="s">
        <v>477</v>
      </c>
      <c r="C94" s="6" t="s">
        <v>478</v>
      </c>
      <c r="D94" s="6" t="s">
        <v>500</v>
      </c>
      <c r="E94" s="6" t="s">
        <v>480</v>
      </c>
      <c r="F94" s="6" t="s">
        <v>501</v>
      </c>
      <c r="G94" s="6"/>
      <c r="H94" s="5" t="n">
        <f aca="false">LEN(F94)</f>
        <v>79</v>
      </c>
      <c r="I94" s="5" t="n">
        <v>4</v>
      </c>
      <c r="J94" s="5" t="n">
        <v>5</v>
      </c>
      <c r="K94" s="6" t="s">
        <v>12</v>
      </c>
      <c r="L94" s="6" t="s">
        <v>502</v>
      </c>
      <c r="M94" s="6"/>
      <c r="N94" s="6" t="s">
        <v>484</v>
      </c>
      <c r="O94" s="6" t="s">
        <v>503</v>
      </c>
      <c r="P94" s="6"/>
    </row>
    <row r="95" customFormat="false" ht="23.85" hidden="false" customHeight="false" outlineLevel="0" collapsed="false">
      <c r="A95" s="5" t="n">
        <v>94</v>
      </c>
      <c r="B95" s="6" t="s">
        <v>477</v>
      </c>
      <c r="C95" s="6" t="s">
        <v>478</v>
      </c>
      <c r="D95" s="6" t="s">
        <v>504</v>
      </c>
      <c r="E95" s="6" t="s">
        <v>480</v>
      </c>
      <c r="F95" s="6" t="s">
        <v>505</v>
      </c>
      <c r="G95" s="6"/>
      <c r="H95" s="5" t="n">
        <f aca="false">LEN(F95)</f>
        <v>66</v>
      </c>
      <c r="I95" s="5" t="n">
        <v>3</v>
      </c>
      <c r="J95" s="5" t="n">
        <v>5</v>
      </c>
      <c r="K95" s="6" t="s">
        <v>43</v>
      </c>
      <c r="L95" s="6" t="s">
        <v>506</v>
      </c>
      <c r="M95" s="6" t="s">
        <v>507</v>
      </c>
      <c r="N95" s="6" t="s">
        <v>484</v>
      </c>
      <c r="O95" s="6" t="s">
        <v>508</v>
      </c>
      <c r="P95" s="6"/>
    </row>
    <row r="96" customFormat="false" ht="23.85" hidden="false" customHeight="false" outlineLevel="0" collapsed="false">
      <c r="A96" s="5" t="n">
        <v>95</v>
      </c>
      <c r="B96" s="6" t="s">
        <v>477</v>
      </c>
      <c r="C96" s="6" t="s">
        <v>478</v>
      </c>
      <c r="D96" s="6" t="s">
        <v>509</v>
      </c>
      <c r="E96" s="6" t="s">
        <v>480</v>
      </c>
      <c r="F96" s="6" t="s">
        <v>452</v>
      </c>
      <c r="G96" s="6"/>
      <c r="H96" s="5" t="n">
        <f aca="false">LEN(F96)</f>
        <v>13</v>
      </c>
      <c r="I96" s="5" t="n">
        <v>2</v>
      </c>
      <c r="J96" s="5" t="n">
        <v>2</v>
      </c>
      <c r="K96" s="6" t="s">
        <v>14</v>
      </c>
      <c r="L96" s="6" t="s">
        <v>510</v>
      </c>
      <c r="M96" s="6"/>
      <c r="N96" s="6" t="s">
        <v>511</v>
      </c>
      <c r="O96" s="6" t="s">
        <v>512</v>
      </c>
      <c r="P96" s="6"/>
    </row>
    <row r="97" customFormat="false" ht="15" hidden="false" customHeight="false" outlineLevel="0" collapsed="false">
      <c r="A97" s="5" t="n">
        <v>96</v>
      </c>
      <c r="B97" s="6" t="s">
        <v>477</v>
      </c>
      <c r="C97" s="6" t="s">
        <v>513</v>
      </c>
      <c r="D97" s="6" t="s">
        <v>514</v>
      </c>
      <c r="E97" s="6" t="s">
        <v>480</v>
      </c>
      <c r="F97" s="6" t="s">
        <v>515</v>
      </c>
      <c r="G97" s="6"/>
      <c r="H97" s="5" t="n">
        <f aca="false">LEN(F97)</f>
        <v>18</v>
      </c>
      <c r="I97" s="5" t="n">
        <v>5</v>
      </c>
      <c r="J97" s="5" t="n">
        <v>2</v>
      </c>
      <c r="K97" s="6" t="s">
        <v>14</v>
      </c>
      <c r="L97" s="6" t="s">
        <v>516</v>
      </c>
      <c r="M97" s="6"/>
      <c r="N97" s="6" t="s">
        <v>511</v>
      </c>
      <c r="O97" s="6" t="s">
        <v>512</v>
      </c>
      <c r="P97" s="6"/>
    </row>
    <row r="98" customFormat="false" ht="23.85" hidden="false" customHeight="false" outlineLevel="0" collapsed="false">
      <c r="A98" s="5" t="n">
        <v>97</v>
      </c>
      <c r="B98" s="6" t="s">
        <v>477</v>
      </c>
      <c r="C98" s="6" t="s">
        <v>517</v>
      </c>
      <c r="D98" s="6" t="s">
        <v>518</v>
      </c>
      <c r="E98" s="6" t="s">
        <v>480</v>
      </c>
      <c r="F98" s="6" t="s">
        <v>519</v>
      </c>
      <c r="G98" s="6"/>
      <c r="H98" s="5" t="n">
        <f aca="false">LEN(F98)</f>
        <v>53</v>
      </c>
      <c r="I98" s="5" t="n">
        <v>2</v>
      </c>
      <c r="J98" s="5" t="n">
        <v>5</v>
      </c>
      <c r="K98" s="6" t="s">
        <v>43</v>
      </c>
      <c r="L98" s="6" t="s">
        <v>520</v>
      </c>
      <c r="M98" s="6" t="s">
        <v>521</v>
      </c>
      <c r="N98" s="6" t="s">
        <v>522</v>
      </c>
      <c r="O98" s="6" t="s">
        <v>523</v>
      </c>
      <c r="P98" s="6"/>
    </row>
    <row r="99" customFormat="false" ht="23.85" hidden="false" customHeight="false" outlineLevel="0" collapsed="false">
      <c r="A99" s="5" t="n">
        <v>98</v>
      </c>
      <c r="B99" s="6" t="s">
        <v>477</v>
      </c>
      <c r="C99" s="6" t="s">
        <v>517</v>
      </c>
      <c r="D99" s="6" t="s">
        <v>524</v>
      </c>
      <c r="E99" s="6" t="s">
        <v>480</v>
      </c>
      <c r="F99" s="6" t="s">
        <v>525</v>
      </c>
      <c r="G99" s="6"/>
      <c r="H99" s="5" t="n">
        <f aca="false">LEN(F99)</f>
        <v>60</v>
      </c>
      <c r="I99" s="5" t="n">
        <v>2</v>
      </c>
      <c r="J99" s="5" t="n">
        <v>5</v>
      </c>
      <c r="K99" s="6" t="s">
        <v>43</v>
      </c>
      <c r="L99" s="6" t="s">
        <v>526</v>
      </c>
      <c r="M99" s="6" t="s">
        <v>527</v>
      </c>
      <c r="N99" s="6" t="s">
        <v>522</v>
      </c>
      <c r="O99" s="6" t="s">
        <v>528</v>
      </c>
      <c r="P99" s="6"/>
    </row>
    <row r="100" customFormat="false" ht="23.85" hidden="false" customHeight="false" outlineLevel="0" collapsed="false">
      <c r="A100" s="5" t="n">
        <v>99</v>
      </c>
      <c r="B100" s="6" t="s">
        <v>477</v>
      </c>
      <c r="C100" s="6" t="s">
        <v>517</v>
      </c>
      <c r="D100" s="6" t="s">
        <v>529</v>
      </c>
      <c r="E100" s="6" t="s">
        <v>480</v>
      </c>
      <c r="F100" s="6" t="s">
        <v>530</v>
      </c>
      <c r="G100" s="6"/>
      <c r="H100" s="5" t="n">
        <f aca="false">LEN(F100)</f>
        <v>28</v>
      </c>
      <c r="I100" s="5" t="n">
        <v>4</v>
      </c>
      <c r="J100" s="5" t="n">
        <v>5</v>
      </c>
      <c r="K100" s="6" t="s">
        <v>12</v>
      </c>
      <c r="L100" s="6" t="s">
        <v>531</v>
      </c>
      <c r="M100" s="6"/>
      <c r="N100" s="6" t="s">
        <v>522</v>
      </c>
      <c r="O100" s="6" t="s">
        <v>532</v>
      </c>
      <c r="P100" s="6"/>
    </row>
    <row r="101" customFormat="false" ht="23.85" hidden="false" customHeight="false" outlineLevel="0" collapsed="false">
      <c r="A101" s="5" t="n">
        <v>100</v>
      </c>
      <c r="B101" s="6" t="s">
        <v>477</v>
      </c>
      <c r="C101" s="6" t="s">
        <v>517</v>
      </c>
      <c r="D101" s="6" t="s">
        <v>533</v>
      </c>
      <c r="E101" s="6" t="s">
        <v>480</v>
      </c>
      <c r="F101" s="6" t="s">
        <v>534</v>
      </c>
      <c r="G101" s="6"/>
      <c r="H101" s="5" t="n">
        <f aca="false">LEN(F101)</f>
        <v>41</v>
      </c>
      <c r="I101" s="5" t="n">
        <v>3</v>
      </c>
      <c r="J101" s="5" t="n">
        <v>5</v>
      </c>
      <c r="K101" s="6" t="s">
        <v>43</v>
      </c>
      <c r="L101" s="6" t="s">
        <v>535</v>
      </c>
      <c r="M101" s="6" t="s">
        <v>536</v>
      </c>
      <c r="N101" s="6" t="s">
        <v>522</v>
      </c>
      <c r="O101" s="6" t="s">
        <v>180</v>
      </c>
      <c r="P101" s="6"/>
    </row>
    <row r="102" customFormat="false" ht="15" hidden="false" customHeight="false" outlineLevel="0" collapsed="false">
      <c r="A102" s="5" t="n">
        <v>101</v>
      </c>
      <c r="B102" s="6" t="s">
        <v>477</v>
      </c>
      <c r="C102" s="6" t="s">
        <v>517</v>
      </c>
      <c r="D102" s="6" t="s">
        <v>537</v>
      </c>
      <c r="E102" s="6" t="s">
        <v>480</v>
      </c>
      <c r="F102" s="6" t="s">
        <v>538</v>
      </c>
      <c r="G102" s="6"/>
      <c r="H102" s="5" t="n">
        <f aca="false">LEN(F102)</f>
        <v>38</v>
      </c>
      <c r="I102" s="5" t="n">
        <v>5</v>
      </c>
      <c r="J102" s="5" t="n">
        <v>5</v>
      </c>
      <c r="K102" s="6" t="s">
        <v>12</v>
      </c>
      <c r="L102" s="6" t="s">
        <v>539</v>
      </c>
      <c r="M102" s="6"/>
      <c r="N102" s="6" t="s">
        <v>522</v>
      </c>
      <c r="O102" s="6" t="s">
        <v>184</v>
      </c>
      <c r="P102" s="6"/>
    </row>
    <row r="103" customFormat="false" ht="23.85" hidden="false" customHeight="false" outlineLevel="0" collapsed="false">
      <c r="A103" s="5" t="n">
        <v>102</v>
      </c>
      <c r="B103" s="6" t="s">
        <v>477</v>
      </c>
      <c r="C103" s="6" t="s">
        <v>517</v>
      </c>
      <c r="D103" s="6" t="s">
        <v>540</v>
      </c>
      <c r="E103" s="6" t="s">
        <v>480</v>
      </c>
      <c r="F103" s="6" t="s">
        <v>541</v>
      </c>
      <c r="G103" s="6"/>
      <c r="H103" s="5" t="n">
        <f aca="false">LEN(F103)</f>
        <v>64</v>
      </c>
      <c r="I103" s="5" t="n">
        <v>3</v>
      </c>
      <c r="J103" s="5" t="n">
        <v>5</v>
      </c>
      <c r="K103" s="6" t="s">
        <v>43</v>
      </c>
      <c r="L103" s="6" t="s">
        <v>542</v>
      </c>
      <c r="M103" s="6" t="s">
        <v>543</v>
      </c>
      <c r="N103" s="6" t="s">
        <v>522</v>
      </c>
      <c r="O103" s="6" t="s">
        <v>188</v>
      </c>
      <c r="P103" s="6"/>
    </row>
    <row r="104" customFormat="false" ht="23.85" hidden="false" customHeight="false" outlineLevel="0" collapsed="false">
      <c r="A104" s="5" t="n">
        <v>103</v>
      </c>
      <c r="B104" s="6" t="s">
        <v>477</v>
      </c>
      <c r="C104" s="6" t="s">
        <v>513</v>
      </c>
      <c r="D104" s="6" t="s">
        <v>544</v>
      </c>
      <c r="E104" s="6" t="s">
        <v>480</v>
      </c>
      <c r="F104" s="6" t="s">
        <v>545</v>
      </c>
      <c r="G104" s="6"/>
      <c r="H104" s="5" t="n">
        <f aca="false">LEN(F104)</f>
        <v>62</v>
      </c>
      <c r="I104" s="5" t="n">
        <v>5</v>
      </c>
      <c r="J104" s="5" t="n">
        <v>5</v>
      </c>
      <c r="K104" s="6" t="s">
        <v>12</v>
      </c>
      <c r="L104" s="6" t="s">
        <v>546</v>
      </c>
      <c r="M104" s="6"/>
      <c r="N104" s="6" t="s">
        <v>547</v>
      </c>
      <c r="O104" s="6" t="s">
        <v>548</v>
      </c>
      <c r="P104" s="6"/>
    </row>
    <row r="105" customFormat="false" ht="46.25" hidden="false" customHeight="false" outlineLevel="0" collapsed="false">
      <c r="A105" s="5" t="n">
        <v>104</v>
      </c>
      <c r="B105" s="6" t="s">
        <v>477</v>
      </c>
      <c r="C105" s="6" t="s">
        <v>513</v>
      </c>
      <c r="D105" s="6" t="s">
        <v>549</v>
      </c>
      <c r="E105" s="6" t="s">
        <v>480</v>
      </c>
      <c r="F105" s="6" t="s">
        <v>550</v>
      </c>
      <c r="G105" s="6"/>
      <c r="H105" s="5" t="n">
        <f aca="false">LEN(F105)</f>
        <v>169</v>
      </c>
      <c r="I105" s="5" t="n">
        <v>2</v>
      </c>
      <c r="J105" s="5" t="n">
        <v>5</v>
      </c>
      <c r="K105" s="6" t="s">
        <v>43</v>
      </c>
      <c r="L105" s="6" t="s">
        <v>551</v>
      </c>
      <c r="M105" s="6" t="s">
        <v>552</v>
      </c>
      <c r="N105" s="6" t="s">
        <v>547</v>
      </c>
      <c r="O105" s="6" t="s">
        <v>553</v>
      </c>
      <c r="P105" s="6"/>
    </row>
    <row r="106" customFormat="false" ht="23.85" hidden="false" customHeight="false" outlineLevel="0" collapsed="false">
      <c r="A106" s="5" t="n">
        <v>105</v>
      </c>
      <c r="B106" s="6" t="s">
        <v>477</v>
      </c>
      <c r="C106" s="6" t="s">
        <v>513</v>
      </c>
      <c r="D106" s="6" t="s">
        <v>554</v>
      </c>
      <c r="E106" s="6" t="s">
        <v>480</v>
      </c>
      <c r="F106" s="6" t="s">
        <v>555</v>
      </c>
      <c r="G106" s="6"/>
      <c r="H106" s="5" t="n">
        <f aca="false">LEN(F106)</f>
        <v>113</v>
      </c>
      <c r="I106" s="5" t="n">
        <v>5</v>
      </c>
      <c r="J106" s="5" t="n">
        <v>5</v>
      </c>
      <c r="K106" s="6" t="s">
        <v>12</v>
      </c>
      <c r="L106" s="6" t="s">
        <v>556</v>
      </c>
      <c r="M106" s="6"/>
      <c r="N106" s="6" t="s">
        <v>547</v>
      </c>
      <c r="O106" s="6" t="s">
        <v>287</v>
      </c>
      <c r="P106" s="6"/>
    </row>
    <row r="107" customFormat="false" ht="23.85" hidden="false" customHeight="false" outlineLevel="0" collapsed="false">
      <c r="A107" s="5" t="n">
        <v>106</v>
      </c>
      <c r="B107" s="6" t="s">
        <v>477</v>
      </c>
      <c r="C107" s="6" t="s">
        <v>513</v>
      </c>
      <c r="D107" s="6" t="s">
        <v>557</v>
      </c>
      <c r="E107" s="6" t="s">
        <v>480</v>
      </c>
      <c r="F107" s="6" t="s">
        <v>558</v>
      </c>
      <c r="G107" s="6"/>
      <c r="H107" s="5" t="n">
        <f aca="false">LEN(F107)</f>
        <v>68</v>
      </c>
      <c r="I107" s="5" t="n">
        <v>4</v>
      </c>
      <c r="J107" s="5" t="n">
        <v>5</v>
      </c>
      <c r="K107" s="6" t="s">
        <v>12</v>
      </c>
      <c r="L107" s="6" t="s">
        <v>559</v>
      </c>
      <c r="M107" s="6"/>
      <c r="N107" s="6" t="s">
        <v>547</v>
      </c>
      <c r="O107" s="6" t="s">
        <v>297</v>
      </c>
      <c r="P107" s="6"/>
    </row>
    <row r="108" customFormat="false" ht="15" hidden="false" customHeight="false" outlineLevel="0" collapsed="false">
      <c r="A108" s="5" t="n">
        <v>107</v>
      </c>
      <c r="B108" s="6" t="s">
        <v>477</v>
      </c>
      <c r="C108" s="6" t="s">
        <v>513</v>
      </c>
      <c r="D108" s="6" t="s">
        <v>560</v>
      </c>
      <c r="E108" s="6" t="s">
        <v>480</v>
      </c>
      <c r="F108" s="6" t="s">
        <v>561</v>
      </c>
      <c r="G108" s="6"/>
      <c r="H108" s="5" t="n">
        <f aca="false">LEN(F108)</f>
        <v>32</v>
      </c>
      <c r="I108" s="5" t="n">
        <v>5</v>
      </c>
      <c r="J108" s="5" t="n">
        <v>5</v>
      </c>
      <c r="K108" s="6" t="s">
        <v>12</v>
      </c>
      <c r="L108" s="6" t="s">
        <v>539</v>
      </c>
      <c r="M108" s="6"/>
      <c r="N108" s="6" t="s">
        <v>547</v>
      </c>
      <c r="O108" s="6" t="s">
        <v>562</v>
      </c>
      <c r="P108" s="6"/>
    </row>
    <row r="109" customFormat="false" ht="23.85" hidden="false" customHeight="false" outlineLevel="0" collapsed="false">
      <c r="A109" s="5" t="n">
        <v>108</v>
      </c>
      <c r="B109" s="6" t="s">
        <v>477</v>
      </c>
      <c r="C109" s="6" t="s">
        <v>513</v>
      </c>
      <c r="D109" s="6" t="s">
        <v>563</v>
      </c>
      <c r="E109" s="6" t="s">
        <v>480</v>
      </c>
      <c r="F109" s="6" t="s">
        <v>564</v>
      </c>
      <c r="G109" s="6"/>
      <c r="H109" s="5" t="n">
        <f aca="false">LEN(F109)</f>
        <v>108</v>
      </c>
      <c r="I109" s="5" t="n">
        <v>3</v>
      </c>
      <c r="J109" s="5" t="n">
        <v>5</v>
      </c>
      <c r="K109" s="6" t="s">
        <v>43</v>
      </c>
      <c r="L109" s="6" t="s">
        <v>565</v>
      </c>
      <c r="M109" s="6" t="s">
        <v>566</v>
      </c>
      <c r="N109" s="6" t="s">
        <v>547</v>
      </c>
      <c r="O109" s="6" t="s">
        <v>567</v>
      </c>
      <c r="P109" s="6"/>
    </row>
    <row r="110" customFormat="false" ht="15" hidden="false" customHeight="false" outlineLevel="0" collapsed="false">
      <c r="A110" s="5" t="n">
        <v>109</v>
      </c>
      <c r="B110" s="6" t="s">
        <v>88</v>
      </c>
      <c r="C110" s="6" t="s">
        <v>568</v>
      </c>
      <c r="D110" s="6" t="s">
        <v>134</v>
      </c>
      <c r="E110" s="6" t="s">
        <v>77</v>
      </c>
      <c r="F110" s="6" t="s">
        <v>569</v>
      </c>
      <c r="G110" s="6"/>
      <c r="H110" s="5" t="n">
        <f aca="false">LEN(F110)</f>
        <v>21</v>
      </c>
      <c r="I110" s="5" t="n">
        <v>5</v>
      </c>
      <c r="J110" s="5" t="n">
        <v>1</v>
      </c>
      <c r="K110" s="6" t="s">
        <v>14</v>
      </c>
      <c r="L110" s="6" t="s">
        <v>136</v>
      </c>
      <c r="M110" s="6"/>
      <c r="N110" s="6" t="s">
        <v>465</v>
      </c>
      <c r="O110" s="6" t="s">
        <v>499</v>
      </c>
      <c r="P110" s="6"/>
    </row>
    <row r="111" customFormat="false" ht="23.85" hidden="false" customHeight="false" outlineLevel="0" collapsed="false">
      <c r="A111" s="5" t="n">
        <v>110</v>
      </c>
      <c r="B111" s="6" t="s">
        <v>88</v>
      </c>
      <c r="C111" s="6" t="s">
        <v>570</v>
      </c>
      <c r="D111" s="6" t="s">
        <v>571</v>
      </c>
      <c r="E111" s="6" t="s">
        <v>77</v>
      </c>
      <c r="F111" s="6" t="s">
        <v>572</v>
      </c>
      <c r="G111" s="6" t="s">
        <v>573</v>
      </c>
      <c r="H111" s="5" t="n">
        <f aca="false">LEN(F111)</f>
        <v>18</v>
      </c>
      <c r="I111" s="5" t="n">
        <v>5</v>
      </c>
      <c r="J111" s="5" t="n">
        <v>3</v>
      </c>
      <c r="K111" s="6" t="s">
        <v>14</v>
      </c>
      <c r="L111" s="6" t="s">
        <v>574</v>
      </c>
      <c r="M111" s="6"/>
      <c r="N111" s="6" t="s">
        <v>465</v>
      </c>
      <c r="O111" s="6" t="s">
        <v>575</v>
      </c>
      <c r="P111" s="6"/>
    </row>
    <row r="112" customFormat="false" ht="23.85" hidden="false" customHeight="false" outlineLevel="0" collapsed="false">
      <c r="A112" s="5" t="n">
        <v>111</v>
      </c>
      <c r="B112" s="6" t="s">
        <v>88</v>
      </c>
      <c r="C112" s="6" t="s">
        <v>568</v>
      </c>
      <c r="D112" s="6" t="s">
        <v>576</v>
      </c>
      <c r="E112" s="6" t="s">
        <v>77</v>
      </c>
      <c r="F112" s="6" t="s">
        <v>577</v>
      </c>
      <c r="G112" s="6"/>
      <c r="H112" s="5" t="n">
        <f aca="false">LEN(F112)</f>
        <v>19</v>
      </c>
      <c r="I112" s="5" t="n">
        <v>5</v>
      </c>
      <c r="J112" s="5" t="n">
        <v>4</v>
      </c>
      <c r="K112" s="6" t="s">
        <v>43</v>
      </c>
      <c r="L112" s="6" t="s">
        <v>578</v>
      </c>
      <c r="M112" s="6" t="s">
        <v>579</v>
      </c>
      <c r="N112" s="6" t="s">
        <v>465</v>
      </c>
      <c r="O112" s="6" t="s">
        <v>580</v>
      </c>
      <c r="P112" s="6"/>
    </row>
    <row r="113" customFormat="false" ht="23.85" hidden="false" customHeight="false" outlineLevel="0" collapsed="false">
      <c r="A113" s="5" t="n">
        <v>112</v>
      </c>
      <c r="B113" s="6" t="s">
        <v>88</v>
      </c>
      <c r="C113" s="6" t="s">
        <v>568</v>
      </c>
      <c r="D113" s="6" t="s">
        <v>581</v>
      </c>
      <c r="E113" s="6" t="s">
        <v>77</v>
      </c>
      <c r="F113" s="6" t="s">
        <v>582</v>
      </c>
      <c r="G113" s="6"/>
      <c r="H113" s="5" t="n">
        <f aca="false">LEN(F113)</f>
        <v>47</v>
      </c>
      <c r="I113" s="5" t="n">
        <v>5</v>
      </c>
      <c r="J113" s="5" t="n">
        <v>3</v>
      </c>
      <c r="K113" s="6" t="s">
        <v>14</v>
      </c>
      <c r="L113" s="6" t="s">
        <v>583</v>
      </c>
      <c r="M113" s="6"/>
      <c r="N113" s="6" t="s">
        <v>465</v>
      </c>
      <c r="O113" s="6" t="s">
        <v>584</v>
      </c>
      <c r="P113" s="6"/>
    </row>
    <row r="114" customFormat="false" ht="15" hidden="false" customHeight="false" outlineLevel="0" collapsed="false">
      <c r="A114" s="5" t="n">
        <v>113</v>
      </c>
      <c r="B114" s="6" t="s">
        <v>88</v>
      </c>
      <c r="C114" s="6" t="s">
        <v>585</v>
      </c>
      <c r="D114" s="6" t="s">
        <v>586</v>
      </c>
      <c r="E114" s="6" t="s">
        <v>77</v>
      </c>
      <c r="F114" s="6" t="s">
        <v>587</v>
      </c>
      <c r="G114" s="6" t="s">
        <v>588</v>
      </c>
      <c r="H114" s="5" t="n">
        <f aca="false">LEN(F114)</f>
        <v>17</v>
      </c>
      <c r="I114" s="5" t="n">
        <v>4</v>
      </c>
      <c r="J114" s="5" t="n">
        <v>3</v>
      </c>
      <c r="K114" s="6" t="s">
        <v>14</v>
      </c>
      <c r="L114" s="6" t="s">
        <v>589</v>
      </c>
      <c r="M114" s="6"/>
      <c r="N114" s="6" t="s">
        <v>465</v>
      </c>
      <c r="O114" s="6" t="s">
        <v>590</v>
      </c>
      <c r="P114" s="6" t="s">
        <v>591</v>
      </c>
    </row>
    <row r="115" customFormat="false" ht="15" hidden="false" customHeight="false" outlineLevel="0" collapsed="false">
      <c r="A115" s="5" t="n">
        <v>114</v>
      </c>
      <c r="B115" s="6" t="s">
        <v>88</v>
      </c>
      <c r="C115" s="6" t="s">
        <v>585</v>
      </c>
      <c r="D115" s="6" t="s">
        <v>592</v>
      </c>
      <c r="E115" s="6" t="s">
        <v>77</v>
      </c>
      <c r="F115" s="6" t="s">
        <v>593</v>
      </c>
      <c r="G115" s="6" t="s">
        <v>594</v>
      </c>
      <c r="H115" s="5" t="n">
        <f aca="false">LEN(F115)</f>
        <v>5</v>
      </c>
      <c r="I115" s="5" t="n">
        <v>4</v>
      </c>
      <c r="J115" s="5" t="n">
        <v>3</v>
      </c>
      <c r="K115" s="6" t="s">
        <v>14</v>
      </c>
      <c r="L115" s="6" t="s">
        <v>595</v>
      </c>
      <c r="M115" s="6"/>
      <c r="N115" s="6" t="s">
        <v>465</v>
      </c>
      <c r="O115" s="6" t="s">
        <v>596</v>
      </c>
      <c r="P115" s="6"/>
    </row>
    <row r="116" customFormat="false" ht="15" hidden="false" customHeight="false" outlineLevel="0" collapsed="false">
      <c r="A116" s="5" t="n">
        <v>115</v>
      </c>
      <c r="B116" s="6" t="s">
        <v>459</v>
      </c>
      <c r="C116" s="6" t="s">
        <v>597</v>
      </c>
      <c r="D116" s="6" t="s">
        <v>134</v>
      </c>
      <c r="E116" s="6" t="s">
        <v>77</v>
      </c>
      <c r="F116" s="6" t="s">
        <v>598</v>
      </c>
      <c r="G116" s="6"/>
      <c r="H116" s="5" t="n">
        <f aca="false">LEN(F116)</f>
        <v>14</v>
      </c>
      <c r="I116" s="5" t="n">
        <v>5</v>
      </c>
      <c r="J116" s="5" t="n">
        <v>2</v>
      </c>
      <c r="K116" s="6" t="s">
        <v>14</v>
      </c>
      <c r="L116" s="6" t="s">
        <v>136</v>
      </c>
      <c r="M116" s="6"/>
      <c r="N116" s="6" t="s">
        <v>213</v>
      </c>
      <c r="O116" s="6" t="s">
        <v>599</v>
      </c>
      <c r="P116" s="6"/>
    </row>
    <row r="117" customFormat="false" ht="15" hidden="false" customHeight="false" outlineLevel="0" collapsed="false">
      <c r="A117" s="5" t="n">
        <v>116</v>
      </c>
      <c r="B117" s="6" t="s">
        <v>459</v>
      </c>
      <c r="C117" s="6" t="s">
        <v>597</v>
      </c>
      <c r="D117" s="6" t="s">
        <v>600</v>
      </c>
      <c r="E117" s="6" t="s">
        <v>77</v>
      </c>
      <c r="F117" s="6" t="s">
        <v>601</v>
      </c>
      <c r="G117" s="6"/>
      <c r="H117" s="5" t="n">
        <f aca="false">LEN(F117)</f>
        <v>12</v>
      </c>
      <c r="I117" s="5" t="n">
        <v>5</v>
      </c>
      <c r="J117" s="5" t="n">
        <v>3</v>
      </c>
      <c r="K117" s="6" t="s">
        <v>14</v>
      </c>
      <c r="L117" s="6" t="s">
        <v>602</v>
      </c>
      <c r="M117" s="6"/>
      <c r="N117" s="6" t="s">
        <v>603</v>
      </c>
      <c r="O117" s="6" t="s">
        <v>604</v>
      </c>
      <c r="P117" s="6"/>
    </row>
    <row r="118" customFormat="false" ht="15" hidden="false" customHeight="false" outlineLevel="0" collapsed="false">
      <c r="A118" s="5" t="n">
        <v>117</v>
      </c>
      <c r="B118" s="6" t="s">
        <v>459</v>
      </c>
      <c r="C118" s="6" t="s">
        <v>597</v>
      </c>
      <c r="D118" s="6" t="s">
        <v>600</v>
      </c>
      <c r="E118" s="6" t="s">
        <v>77</v>
      </c>
      <c r="F118" s="6" t="s">
        <v>605</v>
      </c>
      <c r="G118" s="6"/>
      <c r="H118" s="5" t="n">
        <f aca="false">LEN(F118)</f>
        <v>13</v>
      </c>
      <c r="I118" s="5" t="n">
        <v>5</v>
      </c>
      <c r="J118" s="5" t="n">
        <v>3</v>
      </c>
      <c r="K118" s="6" t="s">
        <v>14</v>
      </c>
      <c r="L118" s="6" t="s">
        <v>602</v>
      </c>
      <c r="M118" s="6"/>
      <c r="N118" s="6" t="s">
        <v>603</v>
      </c>
      <c r="O118" s="6" t="s">
        <v>528</v>
      </c>
      <c r="P118" s="6"/>
    </row>
    <row r="119" customFormat="false" ht="15" hidden="false" customHeight="false" outlineLevel="0" collapsed="false">
      <c r="A119" s="5" t="n">
        <v>118</v>
      </c>
      <c r="B119" s="6" t="s">
        <v>459</v>
      </c>
      <c r="C119" s="6" t="s">
        <v>597</v>
      </c>
      <c r="D119" s="6" t="s">
        <v>600</v>
      </c>
      <c r="E119" s="6" t="s">
        <v>77</v>
      </c>
      <c r="F119" s="6" t="s">
        <v>606</v>
      </c>
      <c r="G119" s="6"/>
      <c r="H119" s="5" t="n">
        <f aca="false">LEN(F119)</f>
        <v>10</v>
      </c>
      <c r="I119" s="5" t="n">
        <v>5</v>
      </c>
      <c r="J119" s="5" t="n">
        <v>3</v>
      </c>
      <c r="K119" s="6" t="s">
        <v>14</v>
      </c>
      <c r="L119" s="6" t="s">
        <v>602</v>
      </c>
      <c r="M119" s="6"/>
      <c r="N119" s="6" t="s">
        <v>603</v>
      </c>
      <c r="O119" s="6" t="s">
        <v>607</v>
      </c>
      <c r="P119" s="6"/>
    </row>
    <row r="120" customFormat="false" ht="15" hidden="false" customHeight="false" outlineLevel="0" collapsed="false">
      <c r="A120" s="5" t="n">
        <v>119</v>
      </c>
      <c r="B120" s="6" t="s">
        <v>459</v>
      </c>
      <c r="C120" s="6" t="s">
        <v>597</v>
      </c>
      <c r="D120" s="6" t="s">
        <v>600</v>
      </c>
      <c r="E120" s="6" t="s">
        <v>77</v>
      </c>
      <c r="F120" s="6" t="s">
        <v>608</v>
      </c>
      <c r="G120" s="6"/>
      <c r="H120" s="5" t="n">
        <f aca="false">LEN(F120)</f>
        <v>10</v>
      </c>
      <c r="I120" s="5" t="n">
        <v>5</v>
      </c>
      <c r="J120" s="5" t="n">
        <v>3</v>
      </c>
      <c r="K120" s="6" t="s">
        <v>14</v>
      </c>
      <c r="L120" s="6" t="s">
        <v>602</v>
      </c>
      <c r="M120" s="6"/>
      <c r="N120" s="6" t="s">
        <v>603</v>
      </c>
      <c r="O120" s="6" t="s">
        <v>532</v>
      </c>
      <c r="P120" s="6"/>
    </row>
    <row r="121" customFormat="false" ht="15" hidden="false" customHeight="false" outlineLevel="0" collapsed="false">
      <c r="A121" s="5" t="n">
        <v>120</v>
      </c>
      <c r="B121" s="6" t="s">
        <v>459</v>
      </c>
      <c r="C121" s="6" t="s">
        <v>597</v>
      </c>
      <c r="D121" s="6" t="s">
        <v>600</v>
      </c>
      <c r="E121" s="6" t="s">
        <v>77</v>
      </c>
      <c r="F121" s="6" t="s">
        <v>609</v>
      </c>
      <c r="G121" s="6"/>
      <c r="H121" s="5" t="n">
        <f aca="false">LEN(F121)</f>
        <v>13</v>
      </c>
      <c r="I121" s="5" t="n">
        <v>5</v>
      </c>
      <c r="J121" s="5" t="n">
        <v>3</v>
      </c>
      <c r="K121" s="6" t="s">
        <v>14</v>
      </c>
      <c r="L121" s="6" t="s">
        <v>602</v>
      </c>
      <c r="M121" s="6"/>
      <c r="N121" s="6" t="s">
        <v>603</v>
      </c>
      <c r="O121" s="6" t="s">
        <v>610</v>
      </c>
      <c r="P121" s="6" t="s">
        <v>611</v>
      </c>
    </row>
    <row r="122" customFormat="false" ht="23.85" hidden="false" customHeight="false" outlineLevel="0" collapsed="false">
      <c r="A122" s="5" t="n">
        <v>121</v>
      </c>
      <c r="B122" s="6" t="s">
        <v>459</v>
      </c>
      <c r="C122" s="6" t="s">
        <v>612</v>
      </c>
      <c r="D122" s="6" t="s">
        <v>613</v>
      </c>
      <c r="E122" s="6" t="s">
        <v>77</v>
      </c>
      <c r="F122" s="6" t="s">
        <v>614</v>
      </c>
      <c r="G122" s="6"/>
      <c r="H122" s="5" t="n">
        <f aca="false">LEN(F122)</f>
        <v>62</v>
      </c>
      <c r="I122" s="5" t="n">
        <v>5</v>
      </c>
      <c r="J122" s="5" t="n">
        <v>5</v>
      </c>
      <c r="K122" s="6" t="s">
        <v>12</v>
      </c>
      <c r="L122" s="6" t="s">
        <v>615</v>
      </c>
      <c r="M122" s="6"/>
      <c r="N122" s="6" t="s">
        <v>213</v>
      </c>
      <c r="O122" s="6" t="s">
        <v>616</v>
      </c>
      <c r="P122" s="6"/>
    </row>
    <row r="123" customFormat="false" ht="23.85" hidden="false" customHeight="false" outlineLevel="0" collapsed="false">
      <c r="A123" s="5" t="n">
        <v>122</v>
      </c>
      <c r="B123" s="6" t="s">
        <v>459</v>
      </c>
      <c r="C123" s="6" t="s">
        <v>617</v>
      </c>
      <c r="D123" s="6" t="s">
        <v>618</v>
      </c>
      <c r="E123" s="6" t="s">
        <v>148</v>
      </c>
      <c r="F123" s="6" t="s">
        <v>619</v>
      </c>
      <c r="G123" s="6"/>
      <c r="H123" s="5" t="n">
        <f aca="false">LEN(F123)</f>
        <v>15</v>
      </c>
      <c r="I123" s="5" t="n">
        <v>5</v>
      </c>
      <c r="J123" s="5" t="n">
        <v>2</v>
      </c>
      <c r="K123" s="6" t="s">
        <v>14</v>
      </c>
      <c r="L123" s="6" t="s">
        <v>620</v>
      </c>
      <c r="M123" s="6"/>
      <c r="N123" s="6" t="s">
        <v>213</v>
      </c>
      <c r="O123" s="6" t="s">
        <v>621</v>
      </c>
      <c r="P123" s="6"/>
    </row>
    <row r="124" customFormat="false" ht="23.85" hidden="false" customHeight="false" outlineLevel="0" collapsed="false">
      <c r="A124" s="5" t="n">
        <v>123</v>
      </c>
      <c r="B124" s="6" t="s">
        <v>459</v>
      </c>
      <c r="C124" s="6" t="s">
        <v>612</v>
      </c>
      <c r="D124" s="6" t="s">
        <v>622</v>
      </c>
      <c r="E124" s="6" t="s">
        <v>77</v>
      </c>
      <c r="F124" s="6" t="s">
        <v>623</v>
      </c>
      <c r="G124" s="6" t="s">
        <v>624</v>
      </c>
      <c r="H124" s="5" t="n">
        <f aca="false">LEN(F124)</f>
        <v>43</v>
      </c>
      <c r="I124" s="5" t="n">
        <v>5</v>
      </c>
      <c r="J124" s="5" t="n">
        <v>2</v>
      </c>
      <c r="K124" s="6" t="s">
        <v>14</v>
      </c>
      <c r="L124" s="6" t="s">
        <v>378</v>
      </c>
      <c r="M124" s="6"/>
      <c r="N124" s="6" t="s">
        <v>213</v>
      </c>
      <c r="O124" s="6" t="s">
        <v>625</v>
      </c>
      <c r="P124" s="6"/>
    </row>
    <row r="125" customFormat="false" ht="23.85" hidden="false" customHeight="false" outlineLevel="0" collapsed="false">
      <c r="A125" s="5" t="n">
        <v>124</v>
      </c>
      <c r="B125" s="6" t="s">
        <v>459</v>
      </c>
      <c r="C125" s="6" t="s">
        <v>626</v>
      </c>
      <c r="D125" s="6" t="s">
        <v>627</v>
      </c>
      <c r="E125" s="6" t="s">
        <v>148</v>
      </c>
      <c r="F125" s="6" t="s">
        <v>356</v>
      </c>
      <c r="G125" s="6"/>
      <c r="H125" s="5" t="n">
        <f aca="false">LEN(F125)</f>
        <v>15</v>
      </c>
      <c r="I125" s="5" t="n">
        <v>5</v>
      </c>
      <c r="J125" s="5" t="n">
        <v>5</v>
      </c>
      <c r="K125" s="6" t="s">
        <v>12</v>
      </c>
      <c r="L125" s="6" t="s">
        <v>628</v>
      </c>
      <c r="M125" s="6"/>
      <c r="N125" s="6" t="s">
        <v>213</v>
      </c>
      <c r="O125" s="6" t="s">
        <v>629</v>
      </c>
      <c r="P125" s="6" t="s">
        <v>630</v>
      </c>
    </row>
    <row r="126" customFormat="false" ht="23.85" hidden="false" customHeight="false" outlineLevel="0" collapsed="false">
      <c r="A126" s="5" t="n">
        <v>125</v>
      </c>
      <c r="B126" s="6" t="s">
        <v>459</v>
      </c>
      <c r="C126" s="6" t="s">
        <v>612</v>
      </c>
      <c r="D126" s="6" t="s">
        <v>631</v>
      </c>
      <c r="E126" s="6" t="s">
        <v>77</v>
      </c>
      <c r="F126" s="6" t="s">
        <v>632</v>
      </c>
      <c r="G126" s="6"/>
      <c r="H126" s="5" t="n">
        <f aca="false">LEN(F126)</f>
        <v>27</v>
      </c>
      <c r="I126" s="5" t="n">
        <v>5</v>
      </c>
      <c r="J126" s="5" t="n">
        <v>2</v>
      </c>
      <c r="K126" s="6" t="s">
        <v>14</v>
      </c>
      <c r="L126" s="6" t="s">
        <v>255</v>
      </c>
      <c r="M126" s="6"/>
      <c r="N126" s="6" t="s">
        <v>213</v>
      </c>
      <c r="O126" s="6" t="s">
        <v>633</v>
      </c>
      <c r="P126" s="6"/>
    </row>
    <row r="127" customFormat="false" ht="23.85" hidden="false" customHeight="false" outlineLevel="0" collapsed="false">
      <c r="A127" s="5" t="n">
        <v>126</v>
      </c>
      <c r="B127" s="6" t="s">
        <v>459</v>
      </c>
      <c r="C127" s="6" t="s">
        <v>606</v>
      </c>
      <c r="D127" s="6" t="s">
        <v>634</v>
      </c>
      <c r="E127" s="6" t="s">
        <v>480</v>
      </c>
      <c r="F127" s="6" t="s">
        <v>635</v>
      </c>
      <c r="G127" s="6" t="s">
        <v>636</v>
      </c>
      <c r="H127" s="5" t="n">
        <f aca="false">LEN(F127)</f>
        <v>9</v>
      </c>
      <c r="I127" s="5" t="n">
        <v>5</v>
      </c>
      <c r="J127" s="5" t="n">
        <v>2</v>
      </c>
      <c r="K127" s="6" t="s">
        <v>14</v>
      </c>
      <c r="L127" s="6" t="s">
        <v>637</v>
      </c>
      <c r="M127" s="6"/>
      <c r="N127" s="6" t="s">
        <v>213</v>
      </c>
      <c r="O127" s="6" t="s">
        <v>638</v>
      </c>
      <c r="P127" s="6"/>
    </row>
    <row r="128" customFormat="false" ht="23.85" hidden="false" customHeight="false" outlineLevel="0" collapsed="false">
      <c r="A128" s="5" t="n">
        <v>127</v>
      </c>
      <c r="B128" s="6" t="s">
        <v>459</v>
      </c>
      <c r="C128" s="6" t="s">
        <v>639</v>
      </c>
      <c r="D128" s="6" t="s">
        <v>640</v>
      </c>
      <c r="E128" s="6" t="s">
        <v>480</v>
      </c>
      <c r="F128" s="6" t="s">
        <v>641</v>
      </c>
      <c r="G128" s="6" t="s">
        <v>642</v>
      </c>
      <c r="H128" s="5" t="n">
        <f aca="false">LEN(F128)</f>
        <v>19</v>
      </c>
      <c r="I128" s="5" t="n">
        <v>3</v>
      </c>
      <c r="J128" s="5" t="n">
        <v>3</v>
      </c>
      <c r="K128" s="6" t="s">
        <v>14</v>
      </c>
      <c r="L128" s="6" t="s">
        <v>643</v>
      </c>
      <c r="M128" s="6"/>
      <c r="N128" s="6" t="s">
        <v>213</v>
      </c>
      <c r="O128" s="6" t="s">
        <v>644</v>
      </c>
      <c r="P128" s="6"/>
    </row>
    <row r="129" customFormat="false" ht="23.85" hidden="false" customHeight="false" outlineLevel="0" collapsed="false">
      <c r="A129" s="5" t="n">
        <v>128</v>
      </c>
      <c r="B129" s="6" t="s">
        <v>459</v>
      </c>
      <c r="C129" s="6" t="s">
        <v>601</v>
      </c>
      <c r="D129" s="6" t="s">
        <v>645</v>
      </c>
      <c r="E129" s="6" t="s">
        <v>77</v>
      </c>
      <c r="F129" s="6" t="s">
        <v>646</v>
      </c>
      <c r="G129" s="6" t="s">
        <v>647</v>
      </c>
      <c r="H129" s="5" t="n">
        <f aca="false">LEN(F129)</f>
        <v>48</v>
      </c>
      <c r="I129" s="5" t="n">
        <v>5</v>
      </c>
      <c r="J129" s="5" t="n">
        <v>4</v>
      </c>
      <c r="K129" s="6" t="s">
        <v>12</v>
      </c>
      <c r="L129" s="6" t="s">
        <v>648</v>
      </c>
      <c r="M129" s="6"/>
      <c r="N129" s="6" t="s">
        <v>213</v>
      </c>
      <c r="O129" s="6" t="s">
        <v>649</v>
      </c>
      <c r="P129" s="6"/>
    </row>
    <row r="130" customFormat="false" ht="15" hidden="false" customHeight="false" outlineLevel="0" collapsed="false">
      <c r="A130" s="5" t="n">
        <v>129</v>
      </c>
      <c r="B130" s="6" t="s">
        <v>459</v>
      </c>
      <c r="C130" s="6" t="s">
        <v>601</v>
      </c>
      <c r="D130" s="6" t="s">
        <v>650</v>
      </c>
      <c r="E130" s="6" t="s">
        <v>77</v>
      </c>
      <c r="F130" s="6" t="s">
        <v>651</v>
      </c>
      <c r="G130" s="6"/>
      <c r="H130" s="5" t="n">
        <f aca="false">LEN(F130)</f>
        <v>22</v>
      </c>
      <c r="I130" s="5" t="n">
        <v>4</v>
      </c>
      <c r="J130" s="5" t="n">
        <v>2</v>
      </c>
      <c r="K130" s="6" t="s">
        <v>14</v>
      </c>
      <c r="L130" s="6" t="s">
        <v>652</v>
      </c>
      <c r="M130" s="6"/>
      <c r="N130" s="6" t="s">
        <v>213</v>
      </c>
      <c r="O130" s="6" t="s">
        <v>653</v>
      </c>
      <c r="P130" s="6"/>
    </row>
    <row r="131" customFormat="false" ht="15" hidden="false" customHeight="false" outlineLevel="0" collapsed="false">
      <c r="A131" s="5" t="n">
        <v>130</v>
      </c>
      <c r="B131" s="6" t="s">
        <v>459</v>
      </c>
      <c r="C131" s="6" t="s">
        <v>601</v>
      </c>
      <c r="D131" s="6" t="s">
        <v>654</v>
      </c>
      <c r="E131" s="6" t="s">
        <v>77</v>
      </c>
      <c r="F131" s="6" t="s">
        <v>655</v>
      </c>
      <c r="G131" s="6"/>
      <c r="H131" s="5" t="n">
        <f aca="false">LEN(F131)</f>
        <v>42</v>
      </c>
      <c r="I131" s="5" t="n">
        <v>5</v>
      </c>
      <c r="J131" s="5" t="n">
        <v>2</v>
      </c>
      <c r="K131" s="6" t="s">
        <v>14</v>
      </c>
      <c r="L131" s="6" t="s">
        <v>157</v>
      </c>
      <c r="M131" s="6"/>
      <c r="N131" s="6" t="s">
        <v>213</v>
      </c>
      <c r="O131" s="6" t="s">
        <v>656</v>
      </c>
      <c r="P131" s="6"/>
    </row>
    <row r="132" customFormat="false" ht="15" hidden="false" customHeight="false" outlineLevel="0" collapsed="false">
      <c r="A132" s="5" t="n">
        <v>131</v>
      </c>
      <c r="B132" s="6" t="s">
        <v>459</v>
      </c>
      <c r="C132" s="6" t="s">
        <v>601</v>
      </c>
      <c r="D132" s="6" t="s">
        <v>657</v>
      </c>
      <c r="E132" s="6" t="s">
        <v>77</v>
      </c>
      <c r="F132" s="6" t="s">
        <v>658</v>
      </c>
      <c r="G132" s="6"/>
      <c r="H132" s="5" t="n">
        <f aca="false">LEN(F132)</f>
        <v>17</v>
      </c>
      <c r="I132" s="5" t="n">
        <v>4</v>
      </c>
      <c r="J132" s="5" t="n">
        <v>1</v>
      </c>
      <c r="K132" s="6" t="s">
        <v>14</v>
      </c>
      <c r="L132" s="6" t="s">
        <v>157</v>
      </c>
      <c r="M132" s="6"/>
      <c r="N132" s="6" t="s">
        <v>213</v>
      </c>
      <c r="O132" s="6" t="s">
        <v>659</v>
      </c>
      <c r="P132" s="6"/>
    </row>
    <row r="133" customFormat="false" ht="35.05" hidden="false" customHeight="false" outlineLevel="0" collapsed="false">
      <c r="A133" s="5" t="n">
        <v>132</v>
      </c>
      <c r="B133" s="6" t="s">
        <v>459</v>
      </c>
      <c r="C133" s="6" t="s">
        <v>601</v>
      </c>
      <c r="D133" s="6" t="s">
        <v>660</v>
      </c>
      <c r="E133" s="6" t="s">
        <v>148</v>
      </c>
      <c r="F133" s="6" t="s">
        <v>661</v>
      </c>
      <c r="G133" s="6"/>
      <c r="H133" s="5" t="n">
        <f aca="false">LEN(F133)</f>
        <v>39</v>
      </c>
      <c r="I133" s="5" t="n">
        <v>3</v>
      </c>
      <c r="J133" s="5" t="n">
        <v>4</v>
      </c>
      <c r="K133" s="6" t="s">
        <v>43</v>
      </c>
      <c r="L133" s="6" t="s">
        <v>662</v>
      </c>
      <c r="M133" s="6" t="s">
        <v>663</v>
      </c>
      <c r="N133" s="6" t="s">
        <v>213</v>
      </c>
      <c r="O133" s="6" t="s">
        <v>659</v>
      </c>
      <c r="P133" s="6"/>
    </row>
    <row r="134" customFormat="false" ht="23.85" hidden="false" customHeight="false" outlineLevel="0" collapsed="false">
      <c r="A134" s="5" t="n">
        <v>133</v>
      </c>
      <c r="B134" s="6" t="s">
        <v>459</v>
      </c>
      <c r="C134" s="6" t="s">
        <v>601</v>
      </c>
      <c r="D134" s="6" t="s">
        <v>664</v>
      </c>
      <c r="E134" s="6" t="s">
        <v>77</v>
      </c>
      <c r="F134" s="6" t="s">
        <v>665</v>
      </c>
      <c r="G134" s="6" t="s">
        <v>666</v>
      </c>
      <c r="H134" s="5" t="n">
        <f aca="false">LEN(F134)</f>
        <v>28</v>
      </c>
      <c r="I134" s="5" t="n">
        <v>5</v>
      </c>
      <c r="J134" s="5" t="n">
        <v>3</v>
      </c>
      <c r="K134" s="6" t="s">
        <v>14</v>
      </c>
      <c r="L134" s="6" t="s">
        <v>667</v>
      </c>
      <c r="M134" s="6"/>
      <c r="N134" s="6" t="s">
        <v>213</v>
      </c>
      <c r="O134" s="6" t="s">
        <v>668</v>
      </c>
      <c r="P134" s="6" t="s">
        <v>669</v>
      </c>
    </row>
    <row r="135" customFormat="false" ht="23.85" hidden="false" customHeight="false" outlineLevel="0" collapsed="false">
      <c r="A135" s="5" t="n">
        <v>134</v>
      </c>
      <c r="B135" s="6" t="s">
        <v>459</v>
      </c>
      <c r="C135" s="6" t="s">
        <v>670</v>
      </c>
      <c r="D135" s="6" t="s">
        <v>671</v>
      </c>
      <c r="E135" s="6" t="s">
        <v>77</v>
      </c>
      <c r="F135" s="6" t="s">
        <v>672</v>
      </c>
      <c r="G135" s="6" t="s">
        <v>673</v>
      </c>
      <c r="H135" s="5" t="n">
        <f aca="false">LEN(F135)</f>
        <v>65</v>
      </c>
      <c r="I135" s="5" t="n">
        <v>4</v>
      </c>
      <c r="J135" s="5" t="n">
        <v>3</v>
      </c>
      <c r="K135" s="6" t="s">
        <v>14</v>
      </c>
      <c r="L135" s="6" t="s">
        <v>674</v>
      </c>
      <c r="M135" s="6"/>
      <c r="N135" s="6" t="s">
        <v>213</v>
      </c>
      <c r="O135" s="6" t="s">
        <v>675</v>
      </c>
      <c r="P135" s="6"/>
    </row>
    <row r="136" customFormat="false" ht="23.85" hidden="false" customHeight="false" outlineLevel="0" collapsed="false">
      <c r="A136" s="5" t="n">
        <v>135</v>
      </c>
      <c r="B136" s="6" t="s">
        <v>459</v>
      </c>
      <c r="C136" s="6" t="s">
        <v>670</v>
      </c>
      <c r="D136" s="6" t="s">
        <v>676</v>
      </c>
      <c r="E136" s="6" t="s">
        <v>148</v>
      </c>
      <c r="F136" s="6" t="s">
        <v>677</v>
      </c>
      <c r="G136" s="6"/>
      <c r="H136" s="5" t="n">
        <f aca="false">LEN(F136)</f>
        <v>35</v>
      </c>
      <c r="I136" s="5" t="n">
        <v>4</v>
      </c>
      <c r="J136" s="5" t="n">
        <v>3</v>
      </c>
      <c r="K136" s="6" t="s">
        <v>14</v>
      </c>
      <c r="L136" s="6" t="s">
        <v>678</v>
      </c>
      <c r="M136" s="6"/>
      <c r="N136" s="6" t="s">
        <v>679</v>
      </c>
      <c r="O136" s="6" t="s">
        <v>193</v>
      </c>
      <c r="P136" s="6"/>
    </row>
    <row r="137" customFormat="false" ht="23.85" hidden="false" customHeight="false" outlineLevel="0" collapsed="false">
      <c r="A137" s="5" t="n">
        <v>136</v>
      </c>
      <c r="B137" s="6" t="s">
        <v>459</v>
      </c>
      <c r="C137" s="6" t="s">
        <v>670</v>
      </c>
      <c r="D137" s="6" t="s">
        <v>680</v>
      </c>
      <c r="E137" s="6" t="s">
        <v>148</v>
      </c>
      <c r="F137" s="6" t="s">
        <v>681</v>
      </c>
      <c r="G137" s="6" t="s">
        <v>682</v>
      </c>
      <c r="H137" s="5" t="n">
        <f aca="false">LEN(F137)</f>
        <v>32</v>
      </c>
      <c r="I137" s="5" t="n">
        <v>3</v>
      </c>
      <c r="J137" s="5" t="n">
        <v>4</v>
      </c>
      <c r="K137" s="6" t="s">
        <v>43</v>
      </c>
      <c r="L137" s="6" t="s">
        <v>683</v>
      </c>
      <c r="M137" s="6" t="s">
        <v>684</v>
      </c>
      <c r="N137" s="6" t="s">
        <v>679</v>
      </c>
      <c r="O137" s="6" t="s">
        <v>562</v>
      </c>
      <c r="P137" s="6"/>
    </row>
    <row r="138" customFormat="false" ht="35.05" hidden="false" customHeight="false" outlineLevel="0" collapsed="false">
      <c r="A138" s="5" t="n">
        <v>137</v>
      </c>
      <c r="B138" s="6" t="s">
        <v>459</v>
      </c>
      <c r="C138" s="6" t="s">
        <v>670</v>
      </c>
      <c r="D138" s="6" t="s">
        <v>685</v>
      </c>
      <c r="E138" s="6" t="s">
        <v>148</v>
      </c>
      <c r="F138" s="6" t="s">
        <v>686</v>
      </c>
      <c r="G138" s="6" t="s">
        <v>687</v>
      </c>
      <c r="H138" s="5" t="n">
        <f aca="false">LEN(F138)</f>
        <v>25</v>
      </c>
      <c r="I138" s="5" t="n">
        <v>3</v>
      </c>
      <c r="J138" s="5" t="n">
        <v>5</v>
      </c>
      <c r="K138" s="6" t="s">
        <v>43</v>
      </c>
      <c r="L138" s="6" t="s">
        <v>688</v>
      </c>
      <c r="M138" s="6" t="s">
        <v>689</v>
      </c>
      <c r="N138" s="6" t="s">
        <v>679</v>
      </c>
      <c r="O138" s="6" t="s">
        <v>690</v>
      </c>
      <c r="P138" s="6"/>
    </row>
    <row r="139" customFormat="false" ht="35.05" hidden="false" customHeight="false" outlineLevel="0" collapsed="false">
      <c r="A139" s="5" t="n">
        <v>138</v>
      </c>
      <c r="B139" s="6" t="s">
        <v>459</v>
      </c>
      <c r="C139" s="6" t="s">
        <v>670</v>
      </c>
      <c r="D139" s="6" t="s">
        <v>691</v>
      </c>
      <c r="E139" s="6" t="s">
        <v>77</v>
      </c>
      <c r="F139" s="6" t="s">
        <v>692</v>
      </c>
      <c r="G139" s="6" t="s">
        <v>693</v>
      </c>
      <c r="H139" s="5" t="n">
        <f aca="false">LEN(F139)</f>
        <v>46</v>
      </c>
      <c r="I139" s="5" t="n">
        <v>2</v>
      </c>
      <c r="J139" s="5" t="n">
        <v>5</v>
      </c>
      <c r="K139" s="6" t="s">
        <v>43</v>
      </c>
      <c r="L139" s="6" t="s">
        <v>694</v>
      </c>
      <c r="M139" s="6" t="s">
        <v>695</v>
      </c>
      <c r="N139" s="6" t="s">
        <v>213</v>
      </c>
      <c r="O139" s="6" t="s">
        <v>696</v>
      </c>
      <c r="P139" s="6"/>
    </row>
    <row r="140" customFormat="false" ht="23.85" hidden="false" customHeight="false" outlineLevel="0" collapsed="false">
      <c r="A140" s="5" t="n">
        <v>139</v>
      </c>
      <c r="B140" s="6" t="s">
        <v>459</v>
      </c>
      <c r="C140" s="6" t="s">
        <v>670</v>
      </c>
      <c r="D140" s="6" t="s">
        <v>697</v>
      </c>
      <c r="E140" s="6" t="s">
        <v>148</v>
      </c>
      <c r="F140" s="6" t="s">
        <v>698</v>
      </c>
      <c r="G140" s="6"/>
      <c r="H140" s="5" t="n">
        <f aca="false">LEN(F140)</f>
        <v>19</v>
      </c>
      <c r="I140" s="5" t="n">
        <v>3</v>
      </c>
      <c r="J140" s="5" t="n">
        <v>4</v>
      </c>
      <c r="K140" s="6" t="s">
        <v>43</v>
      </c>
      <c r="L140" s="6" t="s">
        <v>699</v>
      </c>
      <c r="M140" s="6" t="s">
        <v>700</v>
      </c>
      <c r="N140" s="6" t="s">
        <v>679</v>
      </c>
      <c r="O140" s="6" t="s">
        <v>508</v>
      </c>
      <c r="P140" s="6"/>
    </row>
    <row r="141" customFormat="false" ht="23.85" hidden="false" customHeight="false" outlineLevel="0" collapsed="false">
      <c r="A141" s="5" t="n">
        <v>140</v>
      </c>
      <c r="B141" s="6" t="s">
        <v>459</v>
      </c>
      <c r="C141" s="6" t="s">
        <v>670</v>
      </c>
      <c r="D141" s="6" t="s">
        <v>697</v>
      </c>
      <c r="E141" s="6" t="s">
        <v>148</v>
      </c>
      <c r="F141" s="6" t="s">
        <v>701</v>
      </c>
      <c r="G141" s="6"/>
      <c r="H141" s="5" t="n">
        <f aca="false">LEN(F141)</f>
        <v>20</v>
      </c>
      <c r="I141" s="5" t="n">
        <v>4</v>
      </c>
      <c r="J141" s="5" t="n">
        <v>3</v>
      </c>
      <c r="K141" s="6" t="s">
        <v>14</v>
      </c>
      <c r="L141" s="6" t="s">
        <v>702</v>
      </c>
      <c r="M141" s="6"/>
      <c r="N141" s="6" t="s">
        <v>679</v>
      </c>
      <c r="O141" s="6" t="s">
        <v>703</v>
      </c>
      <c r="P141" s="6"/>
    </row>
    <row r="142" customFormat="false" ht="35.05" hidden="false" customHeight="false" outlineLevel="0" collapsed="false">
      <c r="A142" s="5" t="n">
        <v>141</v>
      </c>
      <c r="B142" s="6" t="s">
        <v>459</v>
      </c>
      <c r="C142" s="6" t="s">
        <v>609</v>
      </c>
      <c r="D142" s="6" t="s">
        <v>704</v>
      </c>
      <c r="E142" s="6" t="s">
        <v>77</v>
      </c>
      <c r="F142" s="6" t="s">
        <v>705</v>
      </c>
      <c r="G142" s="6"/>
      <c r="H142" s="5" t="n">
        <f aca="false">LEN(F142)</f>
        <v>96</v>
      </c>
      <c r="I142" s="5" t="n">
        <v>3</v>
      </c>
      <c r="J142" s="5" t="n">
        <v>5</v>
      </c>
      <c r="K142" s="6" t="s">
        <v>43</v>
      </c>
      <c r="L142" s="6" t="s">
        <v>706</v>
      </c>
      <c r="M142" s="6" t="s">
        <v>707</v>
      </c>
      <c r="N142" s="6" t="s">
        <v>213</v>
      </c>
      <c r="O142" s="6" t="s">
        <v>708</v>
      </c>
      <c r="P142" s="6"/>
    </row>
    <row r="143" customFormat="false" ht="23.85" hidden="false" customHeight="false" outlineLevel="0" collapsed="false">
      <c r="A143" s="5" t="n">
        <v>142</v>
      </c>
      <c r="B143" s="6" t="s">
        <v>459</v>
      </c>
      <c r="C143" s="6" t="s">
        <v>609</v>
      </c>
      <c r="D143" s="6" t="s">
        <v>709</v>
      </c>
      <c r="E143" s="6" t="s">
        <v>77</v>
      </c>
      <c r="F143" s="6" t="s">
        <v>710</v>
      </c>
      <c r="G143" s="6"/>
      <c r="H143" s="5" t="n">
        <f aca="false">LEN(F143)</f>
        <v>89</v>
      </c>
      <c r="I143" s="5" t="n">
        <v>4</v>
      </c>
      <c r="J143" s="5" t="n">
        <v>5</v>
      </c>
      <c r="K143" s="6" t="s">
        <v>12</v>
      </c>
      <c r="L143" s="6" t="s">
        <v>711</v>
      </c>
      <c r="M143" s="6"/>
      <c r="N143" s="6" t="s">
        <v>213</v>
      </c>
      <c r="O143" s="6" t="s">
        <v>712</v>
      </c>
      <c r="P143" s="6"/>
    </row>
    <row r="144" customFormat="false" ht="23.85" hidden="false" customHeight="false" outlineLevel="0" collapsed="false">
      <c r="A144" s="5" t="n">
        <v>143</v>
      </c>
      <c r="B144" s="6" t="s">
        <v>459</v>
      </c>
      <c r="C144" s="6" t="s">
        <v>609</v>
      </c>
      <c r="D144" s="6" t="s">
        <v>713</v>
      </c>
      <c r="E144" s="6" t="s">
        <v>77</v>
      </c>
      <c r="F144" s="6" t="s">
        <v>714</v>
      </c>
      <c r="G144" s="6"/>
      <c r="H144" s="5" t="n">
        <f aca="false">LEN(F144)</f>
        <v>113</v>
      </c>
      <c r="I144" s="5" t="n">
        <v>4</v>
      </c>
      <c r="J144" s="5" t="n">
        <v>5</v>
      </c>
      <c r="K144" s="6" t="s">
        <v>12</v>
      </c>
      <c r="L144" s="6" t="s">
        <v>715</v>
      </c>
      <c r="M144" s="6"/>
      <c r="N144" s="6" t="s">
        <v>213</v>
      </c>
      <c r="O144" s="6" t="s">
        <v>716</v>
      </c>
      <c r="P144" s="6"/>
    </row>
    <row r="145" customFormat="false" ht="23.85" hidden="false" customHeight="false" outlineLevel="0" collapsed="false">
      <c r="A145" s="5" t="n">
        <v>144</v>
      </c>
      <c r="B145" s="6" t="s">
        <v>459</v>
      </c>
      <c r="C145" s="6" t="s">
        <v>609</v>
      </c>
      <c r="D145" s="6" t="s">
        <v>717</v>
      </c>
      <c r="E145" s="6" t="s">
        <v>77</v>
      </c>
      <c r="F145" s="6" t="s">
        <v>718</v>
      </c>
      <c r="G145" s="6"/>
      <c r="H145" s="5" t="n">
        <f aca="false">LEN(F145)</f>
        <v>81</v>
      </c>
      <c r="I145" s="5" t="n">
        <v>3</v>
      </c>
      <c r="J145" s="5" t="n">
        <v>5</v>
      </c>
      <c r="K145" s="6" t="s">
        <v>43</v>
      </c>
      <c r="L145" s="6" t="s">
        <v>719</v>
      </c>
      <c r="M145" s="6" t="s">
        <v>720</v>
      </c>
      <c r="N145" s="6" t="s">
        <v>213</v>
      </c>
      <c r="O145" s="6" t="s">
        <v>721</v>
      </c>
      <c r="P145" s="6"/>
    </row>
    <row r="146" customFormat="false" ht="23.85" hidden="false" customHeight="false" outlineLevel="0" collapsed="false">
      <c r="A146" s="5" t="n">
        <v>145</v>
      </c>
      <c r="B146" s="6" t="s">
        <v>459</v>
      </c>
      <c r="C146" s="6" t="s">
        <v>609</v>
      </c>
      <c r="D146" s="6" t="s">
        <v>722</v>
      </c>
      <c r="E146" s="6" t="s">
        <v>77</v>
      </c>
      <c r="F146" s="6" t="s">
        <v>723</v>
      </c>
      <c r="G146" s="6"/>
      <c r="H146" s="5" t="n">
        <f aca="false">LEN(F146)</f>
        <v>69</v>
      </c>
      <c r="I146" s="5" t="n">
        <v>4</v>
      </c>
      <c r="J146" s="5" t="n">
        <v>5</v>
      </c>
      <c r="K146" s="6" t="s">
        <v>12</v>
      </c>
      <c r="L146" s="6" t="s">
        <v>724</v>
      </c>
      <c r="M146" s="6"/>
      <c r="N146" s="6" t="s">
        <v>213</v>
      </c>
      <c r="O146" s="6" t="s">
        <v>725</v>
      </c>
      <c r="P146" s="6"/>
    </row>
    <row r="147" customFormat="false" ht="35.05" hidden="false" customHeight="false" outlineLevel="0" collapsed="false">
      <c r="A147" s="5" t="n">
        <v>146</v>
      </c>
      <c r="B147" s="6" t="s">
        <v>459</v>
      </c>
      <c r="C147" s="6" t="s">
        <v>609</v>
      </c>
      <c r="D147" s="6" t="s">
        <v>726</v>
      </c>
      <c r="E147" s="6" t="s">
        <v>77</v>
      </c>
      <c r="F147" s="6" t="s">
        <v>727</v>
      </c>
      <c r="G147" s="6"/>
      <c r="H147" s="5" t="n">
        <f aca="false">LEN(F147)</f>
        <v>52</v>
      </c>
      <c r="I147" s="5" t="n">
        <v>3</v>
      </c>
      <c r="J147" s="5" t="n">
        <v>5</v>
      </c>
      <c r="K147" s="6" t="s">
        <v>43</v>
      </c>
      <c r="L147" s="6" t="s">
        <v>728</v>
      </c>
      <c r="M147" s="6" t="s">
        <v>729</v>
      </c>
      <c r="N147" s="6" t="s">
        <v>213</v>
      </c>
      <c r="O147" s="6" t="s">
        <v>730</v>
      </c>
      <c r="P147" s="6"/>
    </row>
    <row r="148" customFormat="false" ht="23.85" hidden="false" customHeight="false" outlineLevel="0" collapsed="false">
      <c r="A148" s="5" t="n">
        <v>147</v>
      </c>
      <c r="B148" s="6" t="s">
        <v>459</v>
      </c>
      <c r="C148" s="6" t="s">
        <v>609</v>
      </c>
      <c r="D148" s="6" t="s">
        <v>731</v>
      </c>
      <c r="E148" s="6" t="s">
        <v>77</v>
      </c>
      <c r="F148" s="6" t="s">
        <v>732</v>
      </c>
      <c r="G148" s="6"/>
      <c r="H148" s="5" t="n">
        <f aca="false">LEN(F148)</f>
        <v>53</v>
      </c>
      <c r="I148" s="5" t="n">
        <v>4</v>
      </c>
      <c r="J148" s="5" t="n">
        <v>5</v>
      </c>
      <c r="K148" s="6" t="s">
        <v>43</v>
      </c>
      <c r="L148" s="6" t="s">
        <v>733</v>
      </c>
      <c r="M148" s="6" t="s">
        <v>734</v>
      </c>
      <c r="N148" s="6" t="s">
        <v>213</v>
      </c>
      <c r="O148" s="6" t="s">
        <v>735</v>
      </c>
      <c r="P148" s="6"/>
    </row>
    <row r="149" customFormat="false" ht="23.85" hidden="false" customHeight="false" outlineLevel="0" collapsed="false">
      <c r="A149" s="5" t="n">
        <v>148</v>
      </c>
      <c r="B149" s="6" t="s">
        <v>459</v>
      </c>
      <c r="C149" s="6" t="s">
        <v>609</v>
      </c>
      <c r="D149" s="6" t="s">
        <v>736</v>
      </c>
      <c r="E149" s="6" t="s">
        <v>148</v>
      </c>
      <c r="F149" s="6" t="s">
        <v>737</v>
      </c>
      <c r="G149" s="6"/>
      <c r="H149" s="5" t="n">
        <f aca="false">LEN(F149)</f>
        <v>24</v>
      </c>
      <c r="I149" s="5" t="n">
        <v>4</v>
      </c>
      <c r="J149" s="5" t="n">
        <v>5</v>
      </c>
      <c r="K149" s="6" t="s">
        <v>43</v>
      </c>
      <c r="L149" s="6" t="s">
        <v>738</v>
      </c>
      <c r="M149" s="6" t="s">
        <v>739</v>
      </c>
      <c r="N149" s="6" t="s">
        <v>213</v>
      </c>
      <c r="O149" s="6" t="s">
        <v>740</v>
      </c>
      <c r="P149" s="6"/>
    </row>
    <row r="150" customFormat="false" ht="23.85" hidden="false" customHeight="false" outlineLevel="0" collapsed="false">
      <c r="A150" s="5" t="n">
        <v>149</v>
      </c>
      <c r="B150" s="6" t="s">
        <v>459</v>
      </c>
      <c r="C150" s="6" t="s">
        <v>609</v>
      </c>
      <c r="D150" s="6" t="s">
        <v>741</v>
      </c>
      <c r="E150" s="6" t="s">
        <v>148</v>
      </c>
      <c r="F150" s="6" t="s">
        <v>742</v>
      </c>
      <c r="G150" s="6"/>
      <c r="H150" s="5" t="n">
        <f aca="false">LEN(F150)</f>
        <v>19</v>
      </c>
      <c r="I150" s="5" t="n">
        <v>4</v>
      </c>
      <c r="J150" s="5" t="n">
        <v>5</v>
      </c>
      <c r="K150" s="6" t="s">
        <v>43</v>
      </c>
      <c r="L150" s="6" t="s">
        <v>743</v>
      </c>
      <c r="M150" s="6" t="s">
        <v>739</v>
      </c>
      <c r="N150" s="6" t="s">
        <v>213</v>
      </c>
      <c r="O150" s="6" t="s">
        <v>744</v>
      </c>
      <c r="P150" s="6"/>
    </row>
    <row r="151" customFormat="false" ht="23.85" hidden="false" customHeight="false" outlineLevel="0" collapsed="false">
      <c r="A151" s="5" t="n">
        <v>150</v>
      </c>
      <c r="B151" s="6" t="s">
        <v>459</v>
      </c>
      <c r="C151" s="6" t="s">
        <v>609</v>
      </c>
      <c r="D151" s="6" t="s">
        <v>745</v>
      </c>
      <c r="E151" s="6" t="s">
        <v>148</v>
      </c>
      <c r="F151" s="6" t="s">
        <v>746</v>
      </c>
      <c r="G151" s="6"/>
      <c r="H151" s="5" t="n">
        <f aca="false">LEN(F151)</f>
        <v>23</v>
      </c>
      <c r="I151" s="5" t="n">
        <v>3</v>
      </c>
      <c r="J151" s="5" t="n">
        <v>4</v>
      </c>
      <c r="K151" s="6" t="s">
        <v>43</v>
      </c>
      <c r="L151" s="6" t="s">
        <v>747</v>
      </c>
      <c r="M151" s="6" t="s">
        <v>748</v>
      </c>
      <c r="N151" s="6" t="s">
        <v>213</v>
      </c>
      <c r="O151" s="6" t="s">
        <v>749</v>
      </c>
      <c r="P151" s="6"/>
    </row>
    <row r="152" customFormat="false" ht="23.85" hidden="false" customHeight="false" outlineLevel="0" collapsed="false">
      <c r="A152" s="5" t="n">
        <v>151</v>
      </c>
      <c r="B152" s="6" t="s">
        <v>459</v>
      </c>
      <c r="C152" s="6" t="s">
        <v>609</v>
      </c>
      <c r="D152" s="6" t="s">
        <v>745</v>
      </c>
      <c r="E152" s="6" t="s">
        <v>148</v>
      </c>
      <c r="F152" s="6" t="s">
        <v>750</v>
      </c>
      <c r="G152" s="6"/>
      <c r="H152" s="5" t="n">
        <f aca="false">LEN(F152)</f>
        <v>24</v>
      </c>
      <c r="I152" s="5" t="n">
        <v>4</v>
      </c>
      <c r="J152" s="5" t="n">
        <v>5</v>
      </c>
      <c r="K152" s="6" t="s">
        <v>12</v>
      </c>
      <c r="L152" s="6" t="s">
        <v>751</v>
      </c>
      <c r="M152" s="6"/>
      <c r="N152" s="6" t="s">
        <v>213</v>
      </c>
      <c r="O152" s="6" t="s">
        <v>752</v>
      </c>
      <c r="P152" s="6"/>
    </row>
    <row r="153" customFormat="false" ht="23.85" hidden="false" customHeight="false" outlineLevel="0" collapsed="false">
      <c r="A153" s="5" t="n">
        <v>152</v>
      </c>
      <c r="B153" s="6" t="s">
        <v>459</v>
      </c>
      <c r="C153" s="6" t="s">
        <v>609</v>
      </c>
      <c r="D153" s="6" t="s">
        <v>753</v>
      </c>
      <c r="E153" s="6" t="s">
        <v>148</v>
      </c>
      <c r="F153" s="6" t="s">
        <v>754</v>
      </c>
      <c r="G153" s="6"/>
      <c r="H153" s="5" t="n">
        <f aca="false">LEN(F153)</f>
        <v>24</v>
      </c>
      <c r="I153" s="5" t="n">
        <v>5</v>
      </c>
      <c r="J153" s="5" t="n">
        <v>5</v>
      </c>
      <c r="K153" s="6" t="s">
        <v>12</v>
      </c>
      <c r="L153" s="6" t="s">
        <v>755</v>
      </c>
      <c r="M153" s="6"/>
      <c r="N153" s="6" t="s">
        <v>756</v>
      </c>
      <c r="O153" s="6" t="s">
        <v>757</v>
      </c>
      <c r="P153" s="6"/>
    </row>
    <row r="154" customFormat="false" ht="23.85" hidden="false" customHeight="false" outlineLevel="0" collapsed="false">
      <c r="A154" s="5" t="n">
        <v>153</v>
      </c>
      <c r="B154" s="6" t="s">
        <v>459</v>
      </c>
      <c r="C154" s="6" t="s">
        <v>609</v>
      </c>
      <c r="D154" s="6" t="s">
        <v>758</v>
      </c>
      <c r="E154" s="6" t="s">
        <v>148</v>
      </c>
      <c r="F154" s="6" t="s">
        <v>759</v>
      </c>
      <c r="G154" s="6"/>
      <c r="H154" s="5" t="n">
        <f aca="false">LEN(F154)</f>
        <v>36</v>
      </c>
      <c r="I154" s="5" t="n">
        <v>2</v>
      </c>
      <c r="J154" s="5" t="n">
        <v>4</v>
      </c>
      <c r="K154" s="6" t="s">
        <v>43</v>
      </c>
      <c r="L154" s="6" t="s">
        <v>760</v>
      </c>
      <c r="M154" s="6" t="s">
        <v>761</v>
      </c>
      <c r="N154" s="6" t="s">
        <v>756</v>
      </c>
      <c r="O154" s="6" t="s">
        <v>762</v>
      </c>
      <c r="P154" s="6"/>
    </row>
    <row r="155" customFormat="false" ht="23.85" hidden="false" customHeight="false" outlineLevel="0" collapsed="false">
      <c r="A155" s="5" t="n">
        <v>154</v>
      </c>
      <c r="B155" s="6" t="s">
        <v>459</v>
      </c>
      <c r="C155" s="6" t="s">
        <v>609</v>
      </c>
      <c r="D155" s="6" t="s">
        <v>763</v>
      </c>
      <c r="E155" s="6" t="s">
        <v>148</v>
      </c>
      <c r="F155" s="6" t="s">
        <v>764</v>
      </c>
      <c r="G155" s="6"/>
      <c r="H155" s="5" t="n">
        <f aca="false">LEN(F155)</f>
        <v>36</v>
      </c>
      <c r="I155" s="5" t="n">
        <v>2</v>
      </c>
      <c r="J155" s="5" t="n">
        <v>4</v>
      </c>
      <c r="K155" s="6" t="s">
        <v>43</v>
      </c>
      <c r="L155" s="6" t="s">
        <v>765</v>
      </c>
      <c r="M155" s="6" t="s">
        <v>766</v>
      </c>
      <c r="N155" s="6" t="s">
        <v>213</v>
      </c>
      <c r="O155" s="6" t="s">
        <v>767</v>
      </c>
      <c r="P155" s="6"/>
    </row>
    <row r="156" customFormat="false" ht="23.85" hidden="false" customHeight="false" outlineLevel="0" collapsed="false">
      <c r="A156" s="5" t="n">
        <v>155</v>
      </c>
      <c r="B156" s="6" t="s">
        <v>459</v>
      </c>
      <c r="C156" s="6" t="s">
        <v>609</v>
      </c>
      <c r="D156" s="6" t="s">
        <v>768</v>
      </c>
      <c r="E156" s="6" t="s">
        <v>148</v>
      </c>
      <c r="F156" s="6" t="s">
        <v>769</v>
      </c>
      <c r="G156" s="6"/>
      <c r="H156" s="5" t="n">
        <f aca="false">LEN(F156)</f>
        <v>21</v>
      </c>
      <c r="I156" s="5" t="n">
        <v>2</v>
      </c>
      <c r="J156" s="5" t="n">
        <v>1</v>
      </c>
      <c r="K156" s="6" t="s">
        <v>14</v>
      </c>
      <c r="L156" s="6" t="s">
        <v>770</v>
      </c>
      <c r="M156" s="6"/>
      <c r="N156" s="6" t="s">
        <v>213</v>
      </c>
      <c r="O156" s="6" t="s">
        <v>771</v>
      </c>
      <c r="P156" s="6"/>
    </row>
    <row r="157" customFormat="false" ht="23.85" hidden="false" customHeight="false" outlineLevel="0" collapsed="false">
      <c r="A157" s="5" t="n">
        <v>156</v>
      </c>
      <c r="B157" s="6" t="s">
        <v>459</v>
      </c>
      <c r="C157" s="6" t="s">
        <v>772</v>
      </c>
      <c r="D157" s="6" t="s">
        <v>773</v>
      </c>
      <c r="E157" s="6" t="s">
        <v>77</v>
      </c>
      <c r="F157" s="6" t="s">
        <v>774</v>
      </c>
      <c r="G157" s="6" t="s">
        <v>775</v>
      </c>
      <c r="H157" s="5" t="n">
        <f aca="false">LEN(F157)</f>
        <v>9</v>
      </c>
      <c r="I157" s="5" t="n">
        <v>2</v>
      </c>
      <c r="J157" s="5" t="n">
        <v>2</v>
      </c>
      <c r="K157" s="6" t="s">
        <v>14</v>
      </c>
      <c r="L157" s="6" t="s">
        <v>776</v>
      </c>
      <c r="M157" s="6"/>
      <c r="N157" s="6" t="s">
        <v>213</v>
      </c>
      <c r="O157" s="6" t="s">
        <v>777</v>
      </c>
      <c r="P157" s="6"/>
    </row>
    <row r="158" customFormat="false" ht="23.85" hidden="false" customHeight="false" outlineLevel="0" collapsed="false">
      <c r="A158" s="5" t="n">
        <v>157</v>
      </c>
      <c r="B158" s="6" t="s">
        <v>459</v>
      </c>
      <c r="C158" s="6" t="s">
        <v>778</v>
      </c>
      <c r="D158" s="6" t="s">
        <v>779</v>
      </c>
      <c r="E158" s="6" t="s">
        <v>148</v>
      </c>
      <c r="F158" s="6" t="s">
        <v>780</v>
      </c>
      <c r="G158" s="6" t="s">
        <v>781</v>
      </c>
      <c r="H158" s="5" t="n">
        <f aca="false">LEN(F158)</f>
        <v>45</v>
      </c>
      <c r="I158" s="5" t="n">
        <v>3</v>
      </c>
      <c r="J158" s="5" t="n">
        <v>5</v>
      </c>
      <c r="K158" s="6" t="s">
        <v>43</v>
      </c>
      <c r="L158" s="6" t="s">
        <v>782</v>
      </c>
      <c r="M158" s="6" t="s">
        <v>783</v>
      </c>
      <c r="N158" s="6" t="s">
        <v>756</v>
      </c>
      <c r="O158" s="6" t="s">
        <v>784</v>
      </c>
      <c r="P158" s="6" t="s">
        <v>785</v>
      </c>
    </row>
    <row r="159" customFormat="false" ht="23.85" hidden="false" customHeight="false" outlineLevel="0" collapsed="false">
      <c r="A159" s="5" t="n">
        <v>158</v>
      </c>
      <c r="B159" s="6" t="s">
        <v>459</v>
      </c>
      <c r="C159" s="6" t="s">
        <v>778</v>
      </c>
      <c r="D159" s="6" t="s">
        <v>779</v>
      </c>
      <c r="E159" s="6" t="s">
        <v>148</v>
      </c>
      <c r="F159" s="6" t="s">
        <v>786</v>
      </c>
      <c r="G159" s="6"/>
      <c r="H159" s="5" t="n">
        <f aca="false">LEN(F159)</f>
        <v>16</v>
      </c>
      <c r="I159" s="5" t="n">
        <v>5</v>
      </c>
      <c r="J159" s="5" t="n">
        <v>1</v>
      </c>
      <c r="K159" s="6" t="s">
        <v>14</v>
      </c>
      <c r="L159" s="6" t="s">
        <v>787</v>
      </c>
      <c r="M159" s="6"/>
      <c r="N159" s="6" t="s">
        <v>756</v>
      </c>
      <c r="O159" s="6" t="s">
        <v>788</v>
      </c>
      <c r="P159" s="6"/>
    </row>
    <row r="160" customFormat="false" ht="23.85" hidden="false" customHeight="false" outlineLevel="0" collapsed="false">
      <c r="A160" s="5" t="n">
        <v>159</v>
      </c>
      <c r="B160" s="6" t="s">
        <v>459</v>
      </c>
      <c r="C160" s="6" t="s">
        <v>789</v>
      </c>
      <c r="D160" s="6" t="s">
        <v>790</v>
      </c>
      <c r="E160" s="6" t="s">
        <v>77</v>
      </c>
      <c r="F160" s="6" t="s">
        <v>791</v>
      </c>
      <c r="G160" s="6"/>
      <c r="H160" s="5" t="n">
        <f aca="false">LEN(F160)</f>
        <v>18</v>
      </c>
      <c r="I160" s="5" t="n">
        <v>5</v>
      </c>
      <c r="J160" s="5" t="n">
        <v>2</v>
      </c>
      <c r="K160" s="6" t="s">
        <v>14</v>
      </c>
      <c r="L160" s="6" t="s">
        <v>157</v>
      </c>
      <c r="M160" s="6"/>
      <c r="N160" s="6" t="s">
        <v>213</v>
      </c>
      <c r="O160" s="6" t="s">
        <v>792</v>
      </c>
      <c r="P160" s="6"/>
    </row>
    <row r="161" customFormat="false" ht="35.05" hidden="false" customHeight="false" outlineLevel="0" collapsed="false">
      <c r="A161" s="5" t="n">
        <v>160</v>
      </c>
      <c r="B161" s="6" t="s">
        <v>459</v>
      </c>
      <c r="C161" s="6" t="s">
        <v>789</v>
      </c>
      <c r="D161" s="6" t="s">
        <v>793</v>
      </c>
      <c r="E161" s="6" t="s">
        <v>77</v>
      </c>
      <c r="F161" s="6" t="s">
        <v>794</v>
      </c>
      <c r="G161" s="6" t="s">
        <v>795</v>
      </c>
      <c r="H161" s="5" t="n">
        <f aca="false">LEN(F161)</f>
        <v>28</v>
      </c>
      <c r="I161" s="5" t="n">
        <v>5</v>
      </c>
      <c r="J161" s="5" t="n">
        <v>4</v>
      </c>
      <c r="K161" s="6" t="s">
        <v>12</v>
      </c>
      <c r="L161" s="6" t="s">
        <v>796</v>
      </c>
      <c r="M161" s="6"/>
      <c r="N161" s="6" t="s">
        <v>213</v>
      </c>
      <c r="O161" s="6" t="s">
        <v>797</v>
      </c>
      <c r="P161" s="6"/>
    </row>
    <row r="162" customFormat="false" ht="15" hidden="false" customHeight="false" outlineLevel="0" collapsed="false">
      <c r="A162" s="5" t="n">
        <v>161</v>
      </c>
      <c r="B162" s="6" t="s">
        <v>78</v>
      </c>
      <c r="C162" s="6" t="s">
        <v>798</v>
      </c>
      <c r="D162" s="6" t="s">
        <v>134</v>
      </c>
      <c r="E162" s="6" t="s">
        <v>77</v>
      </c>
      <c r="F162" s="6" t="s">
        <v>799</v>
      </c>
      <c r="G162" s="6"/>
      <c r="H162" s="5" t="n">
        <f aca="false">LEN(F162)</f>
        <v>20</v>
      </c>
      <c r="I162" s="5" t="n">
        <v>5</v>
      </c>
      <c r="J162" s="5" t="n">
        <v>1</v>
      </c>
      <c r="K162" s="6" t="s">
        <v>14</v>
      </c>
      <c r="L162" s="6" t="s">
        <v>136</v>
      </c>
      <c r="M162" s="6"/>
      <c r="N162" s="6" t="s">
        <v>800</v>
      </c>
      <c r="O162" s="6" t="s">
        <v>291</v>
      </c>
      <c r="P162" s="6"/>
    </row>
    <row r="163" customFormat="false" ht="35.05" hidden="false" customHeight="false" outlineLevel="0" collapsed="false">
      <c r="A163" s="5" t="n">
        <v>162</v>
      </c>
      <c r="B163" s="6" t="s">
        <v>78</v>
      </c>
      <c r="C163" s="6" t="s">
        <v>798</v>
      </c>
      <c r="D163" s="6" t="s">
        <v>801</v>
      </c>
      <c r="E163" s="6" t="s">
        <v>77</v>
      </c>
      <c r="F163" s="6" t="s">
        <v>802</v>
      </c>
      <c r="G163" s="6"/>
      <c r="H163" s="5" t="n">
        <f aca="false">LEN(F163)</f>
        <v>31</v>
      </c>
      <c r="I163" s="5" t="n">
        <v>4</v>
      </c>
      <c r="J163" s="5" t="n">
        <v>4</v>
      </c>
      <c r="K163" s="6" t="s">
        <v>43</v>
      </c>
      <c r="L163" s="6" t="s">
        <v>803</v>
      </c>
      <c r="M163" s="6" t="s">
        <v>804</v>
      </c>
      <c r="N163" s="6" t="s">
        <v>800</v>
      </c>
      <c r="O163" s="6" t="s">
        <v>490</v>
      </c>
      <c r="P163" s="6"/>
    </row>
    <row r="164" customFormat="false" ht="15" hidden="false" customHeight="false" outlineLevel="0" collapsed="false">
      <c r="A164" s="5" t="n">
        <v>163</v>
      </c>
      <c r="B164" s="6" t="s">
        <v>78</v>
      </c>
      <c r="C164" s="6" t="s">
        <v>798</v>
      </c>
      <c r="D164" s="6" t="s">
        <v>805</v>
      </c>
      <c r="E164" s="6" t="s">
        <v>77</v>
      </c>
      <c r="F164" s="6" t="s">
        <v>806</v>
      </c>
      <c r="G164" s="6"/>
      <c r="H164" s="5" t="n">
        <f aca="false">LEN(F164)</f>
        <v>8</v>
      </c>
      <c r="I164" s="5" t="n">
        <v>5</v>
      </c>
      <c r="J164" s="5" t="n">
        <v>2</v>
      </c>
      <c r="K164" s="6" t="s">
        <v>14</v>
      </c>
      <c r="L164" s="6" t="s">
        <v>807</v>
      </c>
      <c r="M164" s="6"/>
      <c r="N164" s="6" t="s">
        <v>808</v>
      </c>
      <c r="O164" s="6" t="s">
        <v>809</v>
      </c>
      <c r="P164" s="6"/>
    </row>
    <row r="165" customFormat="false" ht="15" hidden="false" customHeight="false" outlineLevel="0" collapsed="false">
      <c r="A165" s="5" t="n">
        <v>164</v>
      </c>
      <c r="B165" s="6" t="s">
        <v>78</v>
      </c>
      <c r="C165" s="6" t="s">
        <v>798</v>
      </c>
      <c r="D165" s="6" t="s">
        <v>810</v>
      </c>
      <c r="E165" s="6" t="s">
        <v>77</v>
      </c>
      <c r="F165" s="6" t="s">
        <v>811</v>
      </c>
      <c r="G165" s="6"/>
      <c r="H165" s="5" t="n">
        <f aca="false">LEN(F165)</f>
        <v>7</v>
      </c>
      <c r="I165" s="5" t="n">
        <v>5</v>
      </c>
      <c r="J165" s="5" t="n">
        <v>2</v>
      </c>
      <c r="K165" s="6" t="s">
        <v>14</v>
      </c>
      <c r="L165" s="6" t="s">
        <v>812</v>
      </c>
      <c r="M165" s="6"/>
      <c r="N165" s="6" t="s">
        <v>808</v>
      </c>
      <c r="O165" s="6" t="s">
        <v>809</v>
      </c>
      <c r="P165" s="6" t="s">
        <v>813</v>
      </c>
    </row>
    <row r="166" customFormat="false" ht="15" hidden="false" customHeight="false" outlineLevel="0" collapsed="false">
      <c r="A166" s="5" t="n">
        <v>165</v>
      </c>
      <c r="B166" s="6" t="s">
        <v>814</v>
      </c>
      <c r="C166" s="6" t="s">
        <v>304</v>
      </c>
      <c r="D166" s="6" t="s">
        <v>305</v>
      </c>
      <c r="E166" s="6" t="s">
        <v>77</v>
      </c>
      <c r="F166" s="6" t="s">
        <v>221</v>
      </c>
      <c r="G166" s="6"/>
      <c r="H166" s="5" t="n">
        <f aca="false">LEN(F166)</f>
        <v>5</v>
      </c>
      <c r="I166" s="5" t="n">
        <v>5</v>
      </c>
      <c r="J166" s="5" t="n">
        <v>1</v>
      </c>
      <c r="K166" s="6" t="s">
        <v>14</v>
      </c>
      <c r="L166" s="6" t="s">
        <v>136</v>
      </c>
      <c r="M166" s="6"/>
      <c r="N166" s="6" t="s">
        <v>815</v>
      </c>
      <c r="O166" s="6" t="s">
        <v>816</v>
      </c>
      <c r="P166" s="6"/>
    </row>
    <row r="167" customFormat="false" ht="15" hidden="false" customHeight="false" outlineLevel="0" collapsed="false">
      <c r="A167" s="5" t="n">
        <v>166</v>
      </c>
      <c r="B167" s="6" t="s">
        <v>814</v>
      </c>
      <c r="C167" s="6" t="s">
        <v>817</v>
      </c>
      <c r="D167" s="6" t="s">
        <v>818</v>
      </c>
      <c r="E167" s="6" t="s">
        <v>77</v>
      </c>
      <c r="F167" s="6" t="s">
        <v>819</v>
      </c>
      <c r="G167" s="6"/>
      <c r="H167" s="5" t="n">
        <f aca="false">LEN(F167)</f>
        <v>6</v>
      </c>
      <c r="I167" s="5" t="n">
        <v>5</v>
      </c>
      <c r="J167" s="5" t="n">
        <v>3</v>
      </c>
      <c r="K167" s="6" t="s">
        <v>14</v>
      </c>
      <c r="L167" s="6" t="s">
        <v>820</v>
      </c>
      <c r="M167" s="6"/>
      <c r="N167" s="6" t="s">
        <v>815</v>
      </c>
      <c r="O167" s="6" t="s">
        <v>821</v>
      </c>
      <c r="P167" s="6" t="s">
        <v>822</v>
      </c>
    </row>
    <row r="168" customFormat="false" ht="23.85" hidden="false" customHeight="false" outlineLevel="0" collapsed="false">
      <c r="A168" s="5" t="n">
        <v>167</v>
      </c>
      <c r="B168" s="6" t="s">
        <v>814</v>
      </c>
      <c r="C168" s="6" t="s">
        <v>823</v>
      </c>
      <c r="D168" s="6" t="s">
        <v>824</v>
      </c>
      <c r="E168" s="6" t="s">
        <v>77</v>
      </c>
      <c r="F168" s="6" t="s">
        <v>825</v>
      </c>
      <c r="G168" s="6" t="s">
        <v>826</v>
      </c>
      <c r="H168" s="5" t="n">
        <f aca="false">LEN(F168)</f>
        <v>54</v>
      </c>
      <c r="I168" s="5" t="n">
        <v>5</v>
      </c>
      <c r="J168" s="5" t="n">
        <v>5</v>
      </c>
      <c r="K168" s="6" t="s">
        <v>12</v>
      </c>
      <c r="L168" s="6" t="s">
        <v>827</v>
      </c>
      <c r="M168" s="6"/>
      <c r="N168" s="6" t="s">
        <v>815</v>
      </c>
      <c r="O168" s="6" t="s">
        <v>828</v>
      </c>
      <c r="P168" s="6"/>
    </row>
    <row r="169" customFormat="false" ht="23.85" hidden="false" customHeight="false" outlineLevel="0" collapsed="false">
      <c r="A169" s="5" t="n">
        <v>168</v>
      </c>
      <c r="B169" s="6" t="s">
        <v>814</v>
      </c>
      <c r="C169" s="6" t="s">
        <v>829</v>
      </c>
      <c r="D169" s="6" t="s">
        <v>830</v>
      </c>
      <c r="E169" s="6" t="s">
        <v>77</v>
      </c>
      <c r="F169" s="6" t="s">
        <v>831</v>
      </c>
      <c r="G169" s="6" t="s">
        <v>832</v>
      </c>
      <c r="H169" s="5" t="n">
        <f aca="false">LEN(F169)</f>
        <v>14</v>
      </c>
      <c r="I169" s="5" t="n">
        <v>4</v>
      </c>
      <c r="J169" s="5" t="n">
        <v>3</v>
      </c>
      <c r="K169" s="6" t="s">
        <v>14</v>
      </c>
      <c r="L169" s="6" t="s">
        <v>833</v>
      </c>
      <c r="M169" s="6"/>
      <c r="N169" s="6" t="s">
        <v>815</v>
      </c>
      <c r="O169" s="6" t="s">
        <v>834</v>
      </c>
      <c r="P169" s="6" t="s">
        <v>835</v>
      </c>
    </row>
    <row r="170" customFormat="false" ht="23.85" hidden="false" customHeight="false" outlineLevel="0" collapsed="false">
      <c r="A170" s="5" t="n">
        <v>169</v>
      </c>
      <c r="B170" s="6" t="s">
        <v>814</v>
      </c>
      <c r="C170" s="6" t="s">
        <v>829</v>
      </c>
      <c r="D170" s="6" t="s">
        <v>830</v>
      </c>
      <c r="E170" s="6" t="s">
        <v>77</v>
      </c>
      <c r="F170" s="6" t="s">
        <v>836</v>
      </c>
      <c r="G170" s="6" t="s">
        <v>837</v>
      </c>
      <c r="H170" s="5" t="n">
        <f aca="false">LEN(F170)</f>
        <v>16</v>
      </c>
      <c r="I170" s="5" t="n">
        <v>4</v>
      </c>
      <c r="J170" s="5" t="n">
        <v>2</v>
      </c>
      <c r="K170" s="6" t="s">
        <v>14</v>
      </c>
      <c r="L170" s="6" t="s">
        <v>838</v>
      </c>
      <c r="M170" s="6"/>
      <c r="N170" s="6" t="s">
        <v>815</v>
      </c>
      <c r="O170" s="6" t="s">
        <v>839</v>
      </c>
      <c r="P170" s="6"/>
    </row>
    <row r="171" customFormat="false" ht="23.85" hidden="false" customHeight="false" outlineLevel="0" collapsed="false">
      <c r="A171" s="5" t="n">
        <v>170</v>
      </c>
      <c r="B171" s="6" t="s">
        <v>814</v>
      </c>
      <c r="C171" s="6" t="s">
        <v>829</v>
      </c>
      <c r="D171" s="6" t="s">
        <v>840</v>
      </c>
      <c r="E171" s="6" t="s">
        <v>77</v>
      </c>
      <c r="F171" s="6" t="s">
        <v>841</v>
      </c>
      <c r="G171" s="6" t="s">
        <v>842</v>
      </c>
      <c r="H171" s="5" t="n">
        <f aca="false">LEN(F171)</f>
        <v>12</v>
      </c>
      <c r="I171" s="5" t="n">
        <v>4</v>
      </c>
      <c r="J171" s="5" t="n">
        <v>5</v>
      </c>
      <c r="K171" s="6" t="s">
        <v>12</v>
      </c>
      <c r="L171" s="6" t="s">
        <v>843</v>
      </c>
      <c r="M171" s="6"/>
      <c r="N171" s="6" t="s">
        <v>815</v>
      </c>
      <c r="O171" s="6" t="s">
        <v>844</v>
      </c>
      <c r="P171" s="6" t="s">
        <v>845</v>
      </c>
    </row>
    <row r="172" customFormat="false" ht="23.85" hidden="false" customHeight="false" outlineLevel="0" collapsed="false">
      <c r="A172" s="5" t="n">
        <v>171</v>
      </c>
      <c r="B172" s="6" t="s">
        <v>814</v>
      </c>
      <c r="C172" s="6" t="s">
        <v>829</v>
      </c>
      <c r="D172" s="6" t="s">
        <v>846</v>
      </c>
      <c r="E172" s="6" t="s">
        <v>77</v>
      </c>
      <c r="F172" s="6" t="s">
        <v>847</v>
      </c>
      <c r="G172" s="6" t="s">
        <v>848</v>
      </c>
      <c r="H172" s="5" t="n">
        <f aca="false">LEN(F172)</f>
        <v>14</v>
      </c>
      <c r="I172" s="5" t="n">
        <v>4</v>
      </c>
      <c r="J172" s="5" t="n">
        <v>5</v>
      </c>
      <c r="K172" s="6" t="s">
        <v>12</v>
      </c>
      <c r="L172" s="6" t="s">
        <v>849</v>
      </c>
      <c r="M172" s="6"/>
      <c r="N172" s="6" t="s">
        <v>815</v>
      </c>
      <c r="O172" s="6" t="s">
        <v>850</v>
      </c>
      <c r="P172" s="6"/>
    </row>
    <row r="173" customFormat="false" ht="23.85" hidden="false" customHeight="false" outlineLevel="0" collapsed="false">
      <c r="A173" s="5" t="n">
        <v>172</v>
      </c>
      <c r="B173" s="6" t="s">
        <v>814</v>
      </c>
      <c r="C173" s="6" t="s">
        <v>829</v>
      </c>
      <c r="D173" s="6" t="s">
        <v>851</v>
      </c>
      <c r="E173" s="6" t="s">
        <v>77</v>
      </c>
      <c r="F173" s="6" t="s">
        <v>852</v>
      </c>
      <c r="G173" s="6"/>
      <c r="H173" s="5" t="n">
        <f aca="false">LEN(F173)</f>
        <v>12</v>
      </c>
      <c r="I173" s="5" t="n">
        <v>4</v>
      </c>
      <c r="J173" s="5" t="n">
        <v>5</v>
      </c>
      <c r="K173" s="6" t="s">
        <v>12</v>
      </c>
      <c r="L173" s="6" t="s">
        <v>853</v>
      </c>
      <c r="M173" s="6"/>
      <c r="N173" s="6" t="s">
        <v>815</v>
      </c>
      <c r="O173" s="6" t="s">
        <v>854</v>
      </c>
      <c r="P173" s="6"/>
    </row>
    <row r="174" customFormat="false" ht="23.85" hidden="false" customHeight="false" outlineLevel="0" collapsed="false">
      <c r="A174" s="5" t="n">
        <v>173</v>
      </c>
      <c r="B174" s="6" t="s">
        <v>814</v>
      </c>
      <c r="C174" s="6" t="s">
        <v>829</v>
      </c>
      <c r="D174" s="6" t="s">
        <v>855</v>
      </c>
      <c r="E174" s="6" t="s">
        <v>77</v>
      </c>
      <c r="F174" s="6" t="s">
        <v>856</v>
      </c>
      <c r="G174" s="6" t="s">
        <v>857</v>
      </c>
      <c r="H174" s="5" t="n">
        <f aca="false">LEN(F174)</f>
        <v>19</v>
      </c>
      <c r="I174" s="5" t="n">
        <v>5</v>
      </c>
      <c r="J174" s="5" t="n">
        <v>5</v>
      </c>
      <c r="K174" s="6" t="s">
        <v>12</v>
      </c>
      <c r="L174" s="6" t="s">
        <v>858</v>
      </c>
      <c r="M174" s="6"/>
      <c r="N174" s="6" t="s">
        <v>815</v>
      </c>
      <c r="O174" s="6" t="s">
        <v>859</v>
      </c>
      <c r="P174" s="6"/>
    </row>
    <row r="175" customFormat="false" ht="23.85" hidden="false" customHeight="false" outlineLevel="0" collapsed="false">
      <c r="A175" s="5" t="n">
        <v>174</v>
      </c>
      <c r="B175" s="6" t="s">
        <v>814</v>
      </c>
      <c r="C175" s="6" t="s">
        <v>829</v>
      </c>
      <c r="D175" s="6" t="s">
        <v>860</v>
      </c>
      <c r="E175" s="6" t="s">
        <v>77</v>
      </c>
      <c r="F175" s="6" t="s">
        <v>861</v>
      </c>
      <c r="G175" s="6" t="s">
        <v>862</v>
      </c>
      <c r="H175" s="5" t="n">
        <f aca="false">LEN(F175)</f>
        <v>20</v>
      </c>
      <c r="I175" s="5" t="n">
        <v>5</v>
      </c>
      <c r="J175" s="5" t="n">
        <v>5</v>
      </c>
      <c r="K175" s="6" t="s">
        <v>12</v>
      </c>
      <c r="L175" s="6" t="s">
        <v>863</v>
      </c>
      <c r="M175" s="6"/>
      <c r="N175" s="6" t="s">
        <v>815</v>
      </c>
      <c r="O175" s="6" t="s">
        <v>809</v>
      </c>
      <c r="P175" s="6"/>
    </row>
    <row r="176" customFormat="false" ht="23.85" hidden="false" customHeight="false" outlineLevel="0" collapsed="false">
      <c r="A176" s="5" t="n">
        <v>175</v>
      </c>
      <c r="B176" s="6" t="s">
        <v>814</v>
      </c>
      <c r="C176" s="6" t="s">
        <v>829</v>
      </c>
      <c r="D176" s="6" t="s">
        <v>864</v>
      </c>
      <c r="E176" s="6" t="s">
        <v>77</v>
      </c>
      <c r="F176" s="6" t="s">
        <v>865</v>
      </c>
      <c r="G176" s="6"/>
      <c r="H176" s="5" t="n">
        <f aca="false">LEN(F176)</f>
        <v>7</v>
      </c>
      <c r="I176" s="5" t="n">
        <v>4</v>
      </c>
      <c r="J176" s="5" t="n">
        <v>3</v>
      </c>
      <c r="K176" s="6" t="s">
        <v>14</v>
      </c>
      <c r="L176" s="6" t="s">
        <v>866</v>
      </c>
      <c r="M176" s="6"/>
      <c r="N176" s="6" t="s">
        <v>815</v>
      </c>
      <c r="O176" s="6" t="s">
        <v>867</v>
      </c>
      <c r="P176" s="6"/>
    </row>
    <row r="177" customFormat="false" ht="23.85" hidden="false" customHeight="false" outlineLevel="0" collapsed="false">
      <c r="A177" s="5" t="n">
        <v>176</v>
      </c>
      <c r="B177" s="6" t="s">
        <v>814</v>
      </c>
      <c r="C177" s="6" t="s">
        <v>829</v>
      </c>
      <c r="D177" s="6" t="s">
        <v>864</v>
      </c>
      <c r="E177" s="6" t="s">
        <v>77</v>
      </c>
      <c r="F177" s="6" t="s">
        <v>868</v>
      </c>
      <c r="G177" s="6"/>
      <c r="H177" s="5" t="n">
        <f aca="false">LEN(F177)</f>
        <v>7</v>
      </c>
      <c r="I177" s="5" t="n">
        <v>4</v>
      </c>
      <c r="J177" s="5" t="n">
        <v>3</v>
      </c>
      <c r="K177" s="6" t="s">
        <v>14</v>
      </c>
      <c r="L177" s="6" t="s">
        <v>866</v>
      </c>
      <c r="M177" s="6"/>
      <c r="N177" s="6" t="s">
        <v>815</v>
      </c>
      <c r="O177" s="6" t="s">
        <v>869</v>
      </c>
      <c r="P177" s="6"/>
    </row>
    <row r="178" customFormat="false" ht="23.85" hidden="false" customHeight="false" outlineLevel="0" collapsed="false">
      <c r="A178" s="5" t="n">
        <v>177</v>
      </c>
      <c r="B178" s="6" t="s">
        <v>814</v>
      </c>
      <c r="C178" s="6" t="s">
        <v>829</v>
      </c>
      <c r="D178" s="6" t="s">
        <v>864</v>
      </c>
      <c r="E178" s="6" t="s">
        <v>77</v>
      </c>
      <c r="F178" s="6" t="s">
        <v>870</v>
      </c>
      <c r="G178" s="6"/>
      <c r="H178" s="5" t="n">
        <f aca="false">LEN(F178)</f>
        <v>15</v>
      </c>
      <c r="I178" s="5" t="n">
        <v>4</v>
      </c>
      <c r="J178" s="5" t="n">
        <v>5</v>
      </c>
      <c r="K178" s="6" t="s">
        <v>12</v>
      </c>
      <c r="L178" s="6" t="s">
        <v>849</v>
      </c>
      <c r="M178" s="6"/>
      <c r="N178" s="6" t="s">
        <v>815</v>
      </c>
      <c r="O178" s="6" t="s">
        <v>871</v>
      </c>
      <c r="P178" s="6"/>
    </row>
    <row r="179" customFormat="false" ht="23.85" hidden="false" customHeight="false" outlineLevel="0" collapsed="false">
      <c r="A179" s="5" t="n">
        <v>178</v>
      </c>
      <c r="B179" s="6" t="s">
        <v>814</v>
      </c>
      <c r="C179" s="6" t="s">
        <v>829</v>
      </c>
      <c r="D179" s="6" t="s">
        <v>872</v>
      </c>
      <c r="E179" s="6" t="s">
        <v>77</v>
      </c>
      <c r="F179" s="6" t="s">
        <v>873</v>
      </c>
      <c r="G179" s="6" t="s">
        <v>874</v>
      </c>
      <c r="H179" s="5" t="n">
        <f aca="false">LEN(F179)</f>
        <v>7</v>
      </c>
      <c r="I179" s="5" t="n">
        <v>4</v>
      </c>
      <c r="J179" s="5" t="n">
        <v>3</v>
      </c>
      <c r="K179" s="6" t="s">
        <v>14</v>
      </c>
      <c r="L179" s="6" t="s">
        <v>866</v>
      </c>
      <c r="M179" s="6"/>
      <c r="N179" s="6" t="s">
        <v>815</v>
      </c>
      <c r="O179" s="6" t="s">
        <v>875</v>
      </c>
      <c r="P179" s="6"/>
    </row>
    <row r="180" customFormat="false" ht="23.85" hidden="false" customHeight="false" outlineLevel="0" collapsed="false">
      <c r="A180" s="5" t="n">
        <v>179</v>
      </c>
      <c r="B180" s="6" t="s">
        <v>814</v>
      </c>
      <c r="C180" s="6" t="s">
        <v>829</v>
      </c>
      <c r="D180" s="6" t="s">
        <v>872</v>
      </c>
      <c r="E180" s="6" t="s">
        <v>77</v>
      </c>
      <c r="F180" s="6" t="s">
        <v>876</v>
      </c>
      <c r="G180" s="6"/>
      <c r="H180" s="5" t="n">
        <f aca="false">LEN(F180)</f>
        <v>8</v>
      </c>
      <c r="I180" s="5" t="n">
        <v>4</v>
      </c>
      <c r="J180" s="5" t="n">
        <v>3</v>
      </c>
      <c r="K180" s="6" t="s">
        <v>14</v>
      </c>
      <c r="L180" s="6" t="s">
        <v>866</v>
      </c>
      <c r="M180" s="6"/>
      <c r="N180" s="6" t="s">
        <v>815</v>
      </c>
      <c r="O180" s="6" t="s">
        <v>877</v>
      </c>
      <c r="P180" s="6"/>
    </row>
    <row r="181" customFormat="false" ht="23.85" hidden="false" customHeight="false" outlineLevel="0" collapsed="false">
      <c r="A181" s="5" t="n">
        <v>180</v>
      </c>
      <c r="B181" s="6" t="s">
        <v>814</v>
      </c>
      <c r="C181" s="6" t="s">
        <v>829</v>
      </c>
      <c r="D181" s="6" t="s">
        <v>878</v>
      </c>
      <c r="E181" s="6" t="s">
        <v>77</v>
      </c>
      <c r="F181" s="6" t="s">
        <v>879</v>
      </c>
      <c r="G181" s="6" t="s">
        <v>880</v>
      </c>
      <c r="H181" s="5" t="n">
        <f aca="false">LEN(F181)</f>
        <v>10</v>
      </c>
      <c r="I181" s="5" t="n">
        <v>4</v>
      </c>
      <c r="J181" s="5" t="n">
        <v>2</v>
      </c>
      <c r="K181" s="6" t="s">
        <v>14</v>
      </c>
      <c r="L181" s="6" t="s">
        <v>881</v>
      </c>
      <c r="M181" s="6"/>
      <c r="N181" s="6" t="s">
        <v>815</v>
      </c>
      <c r="O181" s="6" t="s">
        <v>882</v>
      </c>
      <c r="P181" s="6"/>
    </row>
    <row r="182" customFormat="false" ht="15" hidden="false" customHeight="false" outlineLevel="0" collapsed="false">
      <c r="A182" s="5" t="n">
        <v>181</v>
      </c>
      <c r="B182" s="6" t="s">
        <v>96</v>
      </c>
      <c r="C182" s="6" t="s">
        <v>450</v>
      </c>
      <c r="D182" s="6" t="s">
        <v>134</v>
      </c>
      <c r="E182" s="6" t="s">
        <v>77</v>
      </c>
      <c r="F182" s="6" t="s">
        <v>883</v>
      </c>
      <c r="G182" s="6"/>
      <c r="H182" s="5" t="n">
        <f aca="false">LEN(F182)</f>
        <v>20</v>
      </c>
      <c r="I182" s="5" t="n">
        <v>5</v>
      </c>
      <c r="J182" s="5" t="n">
        <v>1</v>
      </c>
      <c r="K182" s="6" t="s">
        <v>14</v>
      </c>
      <c r="L182" s="6" t="s">
        <v>136</v>
      </c>
      <c r="M182" s="6"/>
      <c r="N182" s="6" t="s">
        <v>884</v>
      </c>
      <c r="O182" s="6" t="s">
        <v>300</v>
      </c>
      <c r="P182" s="6"/>
    </row>
    <row r="183" customFormat="false" ht="23.85" hidden="false" customHeight="false" outlineLevel="0" collapsed="false">
      <c r="A183" s="5" t="n">
        <v>182</v>
      </c>
      <c r="B183" s="6" t="s">
        <v>96</v>
      </c>
      <c r="C183" s="6" t="s">
        <v>885</v>
      </c>
      <c r="D183" s="6" t="s">
        <v>886</v>
      </c>
      <c r="E183" s="6" t="s">
        <v>77</v>
      </c>
      <c r="F183" s="6" t="s">
        <v>887</v>
      </c>
      <c r="G183" s="6" t="s">
        <v>888</v>
      </c>
      <c r="H183" s="5" t="n">
        <f aca="false">LEN(F183)</f>
        <v>57</v>
      </c>
      <c r="I183" s="5" t="n">
        <v>5</v>
      </c>
      <c r="J183" s="5" t="n">
        <v>5</v>
      </c>
      <c r="K183" s="6" t="s">
        <v>12</v>
      </c>
      <c r="L183" s="6" t="s">
        <v>889</v>
      </c>
      <c r="M183" s="6"/>
      <c r="N183" s="6" t="s">
        <v>884</v>
      </c>
      <c r="O183" s="6" t="s">
        <v>503</v>
      </c>
      <c r="P183" s="6"/>
    </row>
    <row r="184" customFormat="false" ht="15" hidden="false" customHeight="false" outlineLevel="0" collapsed="false">
      <c r="A184" s="5" t="n">
        <v>183</v>
      </c>
      <c r="B184" s="6" t="s">
        <v>100</v>
      </c>
      <c r="C184" s="6" t="s">
        <v>890</v>
      </c>
      <c r="D184" s="6" t="s">
        <v>134</v>
      </c>
      <c r="E184" s="6" t="s">
        <v>77</v>
      </c>
      <c r="F184" s="6" t="s">
        <v>891</v>
      </c>
      <c r="G184" s="6"/>
      <c r="H184" s="5" t="n">
        <f aca="false">LEN(F184)</f>
        <v>22</v>
      </c>
      <c r="I184" s="5" t="n">
        <v>5</v>
      </c>
      <c r="J184" s="5" t="n">
        <v>1</v>
      </c>
      <c r="K184" s="6" t="s">
        <v>14</v>
      </c>
      <c r="L184" s="6" t="s">
        <v>136</v>
      </c>
      <c r="M184" s="6"/>
      <c r="N184" s="6" t="s">
        <v>892</v>
      </c>
      <c r="O184" s="6" t="s">
        <v>295</v>
      </c>
      <c r="P184" s="6"/>
    </row>
    <row r="185" customFormat="false" ht="15" hidden="false" customHeight="false" outlineLevel="0" collapsed="false">
      <c r="A185" s="5" t="n">
        <v>184</v>
      </c>
      <c r="B185" s="6" t="s">
        <v>104</v>
      </c>
      <c r="C185" s="6" t="s">
        <v>304</v>
      </c>
      <c r="D185" s="6" t="s">
        <v>305</v>
      </c>
      <c r="E185" s="6" t="s">
        <v>77</v>
      </c>
      <c r="F185" s="6" t="s">
        <v>893</v>
      </c>
      <c r="G185" s="6"/>
      <c r="H185" s="5" t="n">
        <f aca="false">LEN(F185)</f>
        <v>21</v>
      </c>
      <c r="I185" s="5" t="n">
        <v>5</v>
      </c>
      <c r="J185" s="5" t="n">
        <v>1</v>
      </c>
      <c r="K185" s="6" t="s">
        <v>14</v>
      </c>
      <c r="L185" s="6" t="s">
        <v>136</v>
      </c>
      <c r="M185" s="6"/>
      <c r="N185" s="6" t="s">
        <v>894</v>
      </c>
      <c r="O185" s="6" t="s">
        <v>895</v>
      </c>
      <c r="P185" s="6"/>
    </row>
    <row r="186" customFormat="false" ht="15" hidden="false" customHeight="false" outlineLevel="0" collapsed="false">
      <c r="A186" s="5" t="n">
        <v>185</v>
      </c>
      <c r="B186" s="6" t="s">
        <v>104</v>
      </c>
      <c r="C186" s="6" t="s">
        <v>896</v>
      </c>
      <c r="D186" s="6" t="s">
        <v>897</v>
      </c>
      <c r="E186" s="6" t="s">
        <v>77</v>
      </c>
      <c r="F186" s="6" t="s">
        <v>898</v>
      </c>
      <c r="G186" s="6"/>
      <c r="H186" s="5" t="n">
        <f aca="false">LEN(F186)</f>
        <v>15</v>
      </c>
      <c r="I186" s="5" t="n">
        <v>3</v>
      </c>
      <c r="J186" s="5" t="n">
        <v>3</v>
      </c>
      <c r="K186" s="6" t="s">
        <v>14</v>
      </c>
      <c r="L186" s="6" t="s">
        <v>899</v>
      </c>
      <c r="M186" s="6"/>
      <c r="N186" s="6" t="s">
        <v>894</v>
      </c>
      <c r="O186" s="6" t="s">
        <v>610</v>
      </c>
      <c r="P186" s="6"/>
    </row>
    <row r="187" customFormat="false" ht="35.05" hidden="false" customHeight="false" outlineLevel="0" collapsed="false">
      <c r="A187" s="5" t="n">
        <v>186</v>
      </c>
      <c r="B187" s="6" t="s">
        <v>104</v>
      </c>
      <c r="C187" s="6" t="s">
        <v>896</v>
      </c>
      <c r="D187" s="6" t="s">
        <v>900</v>
      </c>
      <c r="E187" s="6" t="s">
        <v>77</v>
      </c>
      <c r="F187" s="6" t="s">
        <v>901</v>
      </c>
      <c r="G187" s="6"/>
      <c r="H187" s="5" t="n">
        <f aca="false">LEN(F187)</f>
        <v>32</v>
      </c>
      <c r="I187" s="5" t="n">
        <v>4</v>
      </c>
      <c r="J187" s="5" t="n">
        <v>4</v>
      </c>
      <c r="K187" s="6" t="s">
        <v>43</v>
      </c>
      <c r="L187" s="6" t="s">
        <v>902</v>
      </c>
      <c r="M187" s="6" t="s">
        <v>903</v>
      </c>
      <c r="N187" s="6" t="s">
        <v>894</v>
      </c>
      <c r="O187" s="6" t="s">
        <v>180</v>
      </c>
      <c r="P187" s="6"/>
    </row>
    <row r="188" customFormat="false" ht="15" hidden="false" customHeight="false" outlineLevel="0" collapsed="false">
      <c r="A188" s="5" t="n">
        <v>187</v>
      </c>
      <c r="B188" s="6" t="s">
        <v>104</v>
      </c>
      <c r="C188" s="6" t="s">
        <v>896</v>
      </c>
      <c r="D188" s="6" t="s">
        <v>904</v>
      </c>
      <c r="E188" s="6" t="s">
        <v>77</v>
      </c>
      <c r="F188" s="6" t="s">
        <v>905</v>
      </c>
      <c r="G188" s="6"/>
      <c r="H188" s="5" t="n">
        <f aca="false">LEN(F188)</f>
        <v>34</v>
      </c>
      <c r="I188" s="5" t="n">
        <v>4</v>
      </c>
      <c r="J188" s="5" t="n">
        <v>4</v>
      </c>
      <c r="K188" s="6" t="s">
        <v>12</v>
      </c>
      <c r="L188" s="6" t="s">
        <v>906</v>
      </c>
      <c r="M188" s="6"/>
      <c r="N188" s="6" t="s">
        <v>894</v>
      </c>
      <c r="O188" s="6" t="s">
        <v>907</v>
      </c>
      <c r="P188" s="6"/>
    </row>
    <row r="189" customFormat="false" ht="15" hidden="false" customHeight="false" outlineLevel="0" collapsed="false">
      <c r="A189" s="5" t="n">
        <v>188</v>
      </c>
      <c r="B189" s="6" t="s">
        <v>104</v>
      </c>
      <c r="C189" s="6" t="s">
        <v>908</v>
      </c>
      <c r="D189" s="6" t="s">
        <v>909</v>
      </c>
      <c r="E189" s="6" t="s">
        <v>77</v>
      </c>
      <c r="F189" s="6" t="s">
        <v>910</v>
      </c>
      <c r="G189" s="6"/>
      <c r="H189" s="5" t="n">
        <f aca="false">LEN(F189)</f>
        <v>20</v>
      </c>
      <c r="I189" s="5" t="n">
        <v>4</v>
      </c>
      <c r="J189" s="5" t="n">
        <v>2</v>
      </c>
      <c r="K189" s="6" t="s">
        <v>14</v>
      </c>
      <c r="L189" s="6" t="s">
        <v>157</v>
      </c>
      <c r="M189" s="6"/>
      <c r="N189" s="6" t="s">
        <v>894</v>
      </c>
      <c r="O189" s="6" t="s">
        <v>911</v>
      </c>
      <c r="P189" s="6"/>
    </row>
    <row r="190" customFormat="false" ht="15" hidden="false" customHeight="false" outlineLevel="0" collapsed="false">
      <c r="A190" s="5" t="n">
        <v>189</v>
      </c>
      <c r="B190" s="6" t="s">
        <v>104</v>
      </c>
      <c r="C190" s="6" t="s">
        <v>912</v>
      </c>
      <c r="D190" s="6" t="s">
        <v>790</v>
      </c>
      <c r="E190" s="6" t="s">
        <v>77</v>
      </c>
      <c r="F190" s="6" t="s">
        <v>913</v>
      </c>
      <c r="G190" s="6"/>
      <c r="H190" s="5" t="n">
        <f aca="false">LEN(F190)</f>
        <v>15</v>
      </c>
      <c r="I190" s="5" t="n">
        <v>5</v>
      </c>
      <c r="J190" s="5" t="n">
        <v>2</v>
      </c>
      <c r="K190" s="6" t="s">
        <v>14</v>
      </c>
      <c r="L190" s="6" t="s">
        <v>914</v>
      </c>
      <c r="M190" s="6"/>
      <c r="N190" s="6" t="s">
        <v>894</v>
      </c>
      <c r="O190" s="6" t="s">
        <v>915</v>
      </c>
      <c r="P190" s="6"/>
    </row>
    <row r="191" customFormat="false" ht="35.05" hidden="false" customHeight="false" outlineLevel="0" collapsed="false">
      <c r="A191" s="5" t="n">
        <v>190</v>
      </c>
      <c r="B191" s="6" t="s">
        <v>104</v>
      </c>
      <c r="C191" s="6" t="s">
        <v>916</v>
      </c>
      <c r="D191" s="6" t="s">
        <v>917</v>
      </c>
      <c r="E191" s="6" t="s">
        <v>77</v>
      </c>
      <c r="F191" s="6" t="s">
        <v>918</v>
      </c>
      <c r="G191" s="6"/>
      <c r="H191" s="5" t="n">
        <f aca="false">LEN(F191)</f>
        <v>112</v>
      </c>
      <c r="I191" s="5" t="n">
        <v>4</v>
      </c>
      <c r="J191" s="5" t="n">
        <v>5</v>
      </c>
      <c r="K191" s="6" t="s">
        <v>43</v>
      </c>
      <c r="L191" s="6" t="s">
        <v>919</v>
      </c>
      <c r="M191" s="6" t="s">
        <v>920</v>
      </c>
      <c r="N191" s="6" t="s">
        <v>894</v>
      </c>
      <c r="O191" s="6" t="s">
        <v>921</v>
      </c>
      <c r="P191" s="6"/>
    </row>
    <row r="192" customFormat="false" ht="15" hidden="false" customHeight="false" outlineLevel="0" collapsed="false">
      <c r="A192" s="5" t="n">
        <v>191</v>
      </c>
      <c r="B192" s="6" t="s">
        <v>104</v>
      </c>
      <c r="C192" s="6" t="s">
        <v>922</v>
      </c>
      <c r="D192" s="6" t="s">
        <v>923</v>
      </c>
      <c r="E192" s="6" t="s">
        <v>77</v>
      </c>
      <c r="F192" s="6" t="s">
        <v>924</v>
      </c>
      <c r="G192" s="6"/>
      <c r="H192" s="5" t="n">
        <f aca="false">LEN(F192)</f>
        <v>26</v>
      </c>
      <c r="I192" s="5" t="n">
        <v>5</v>
      </c>
      <c r="J192" s="5" t="n">
        <v>2</v>
      </c>
      <c r="K192" s="6" t="s">
        <v>14</v>
      </c>
      <c r="L192" s="6" t="s">
        <v>157</v>
      </c>
      <c r="M192" s="6"/>
      <c r="N192" s="6" t="s">
        <v>894</v>
      </c>
      <c r="O192" s="6" t="s">
        <v>708</v>
      </c>
      <c r="P192" s="6"/>
    </row>
    <row r="193" customFormat="false" ht="15" hidden="false" customHeight="false" outlineLevel="0" collapsed="false">
      <c r="A193" s="5" t="n">
        <v>192</v>
      </c>
      <c r="B193" s="6" t="s">
        <v>104</v>
      </c>
      <c r="C193" s="6" t="s">
        <v>925</v>
      </c>
      <c r="D193" s="6" t="s">
        <v>926</v>
      </c>
      <c r="E193" s="6" t="s">
        <v>77</v>
      </c>
      <c r="F193" s="6" t="s">
        <v>927</v>
      </c>
      <c r="G193" s="6" t="s">
        <v>928</v>
      </c>
      <c r="H193" s="5" t="n">
        <f aca="false">LEN(F193)</f>
        <v>10</v>
      </c>
      <c r="I193" s="5" t="n">
        <v>4</v>
      </c>
      <c r="J193" s="5" t="n">
        <v>3</v>
      </c>
      <c r="K193" s="6" t="s">
        <v>14</v>
      </c>
      <c r="L193" s="6" t="s">
        <v>833</v>
      </c>
      <c r="M193" s="6"/>
      <c r="N193" s="6" t="s">
        <v>894</v>
      </c>
      <c r="O193" s="6" t="s">
        <v>929</v>
      </c>
      <c r="P193" s="6"/>
    </row>
    <row r="194" customFormat="false" ht="35.05" hidden="false" customHeight="false" outlineLevel="0" collapsed="false">
      <c r="A194" s="5" t="n">
        <v>193</v>
      </c>
      <c r="B194" s="6" t="s">
        <v>104</v>
      </c>
      <c r="C194" s="6" t="s">
        <v>930</v>
      </c>
      <c r="D194" s="6" t="s">
        <v>931</v>
      </c>
      <c r="E194" s="6" t="s">
        <v>77</v>
      </c>
      <c r="F194" s="6" t="s">
        <v>932</v>
      </c>
      <c r="G194" s="6"/>
      <c r="H194" s="5" t="n">
        <f aca="false">LEN(F194)</f>
        <v>81</v>
      </c>
      <c r="I194" s="5" t="n">
        <v>3</v>
      </c>
      <c r="J194" s="5" t="n">
        <v>5</v>
      </c>
      <c r="K194" s="6" t="s">
        <v>43</v>
      </c>
      <c r="L194" s="6" t="s">
        <v>933</v>
      </c>
      <c r="M194" s="6" t="s">
        <v>934</v>
      </c>
      <c r="N194" s="6" t="s">
        <v>894</v>
      </c>
      <c r="O194" s="6" t="s">
        <v>935</v>
      </c>
      <c r="P194" s="6"/>
    </row>
    <row r="195" customFormat="false" ht="15" hidden="false" customHeight="false" outlineLevel="0" collapsed="false">
      <c r="A195" s="5" t="n">
        <v>194</v>
      </c>
      <c r="B195" s="6" t="s">
        <v>92</v>
      </c>
      <c r="C195" s="6" t="s">
        <v>304</v>
      </c>
      <c r="D195" s="6" t="s">
        <v>305</v>
      </c>
      <c r="E195" s="6" t="s">
        <v>77</v>
      </c>
      <c r="F195" s="6" t="s">
        <v>936</v>
      </c>
      <c r="G195" s="6"/>
      <c r="H195" s="5" t="n">
        <f aca="false">LEN(F195)</f>
        <v>18</v>
      </c>
      <c r="I195" s="5" t="n">
        <v>5</v>
      </c>
      <c r="J195" s="5" t="n">
        <v>1</v>
      </c>
      <c r="K195" s="6" t="s">
        <v>14</v>
      </c>
      <c r="L195" s="6" t="s">
        <v>136</v>
      </c>
      <c r="M195" s="6"/>
      <c r="N195" s="6" t="s">
        <v>937</v>
      </c>
      <c r="O195" s="6" t="s">
        <v>938</v>
      </c>
      <c r="P195" s="6"/>
    </row>
    <row r="196" customFormat="false" ht="35.05" hidden="false" customHeight="false" outlineLevel="0" collapsed="false">
      <c r="A196" s="5" t="n">
        <v>195</v>
      </c>
      <c r="B196" s="6" t="s">
        <v>92</v>
      </c>
      <c r="C196" s="6" t="s">
        <v>84</v>
      </c>
      <c r="D196" s="6" t="s">
        <v>939</v>
      </c>
      <c r="E196" s="6" t="s">
        <v>77</v>
      </c>
      <c r="F196" s="6" t="s">
        <v>940</v>
      </c>
      <c r="G196" s="6"/>
      <c r="H196" s="5" t="n">
        <f aca="false">LEN(F196)</f>
        <v>124</v>
      </c>
      <c r="I196" s="5" t="n">
        <v>5</v>
      </c>
      <c r="J196" s="5" t="n">
        <v>5</v>
      </c>
      <c r="K196" s="6" t="s">
        <v>12</v>
      </c>
      <c r="L196" s="6" t="s">
        <v>941</v>
      </c>
      <c r="M196" s="6"/>
      <c r="N196" s="6" t="s">
        <v>937</v>
      </c>
      <c r="O196" s="6" t="s">
        <v>690</v>
      </c>
      <c r="P196" s="6"/>
    </row>
    <row r="197" customFormat="false" ht="23.85" hidden="false" customHeight="false" outlineLevel="0" collapsed="false">
      <c r="A197" s="5" t="n">
        <v>196</v>
      </c>
      <c r="B197" s="6" t="s">
        <v>92</v>
      </c>
      <c r="C197" s="6" t="s">
        <v>942</v>
      </c>
      <c r="D197" s="6" t="s">
        <v>943</v>
      </c>
      <c r="E197" s="6" t="s">
        <v>77</v>
      </c>
      <c r="F197" s="6" t="s">
        <v>944</v>
      </c>
      <c r="G197" s="6"/>
      <c r="H197" s="5" t="n">
        <f aca="false">LEN(F197)</f>
        <v>52</v>
      </c>
      <c r="I197" s="5" t="n">
        <v>3</v>
      </c>
      <c r="J197" s="5" t="n">
        <v>3</v>
      </c>
      <c r="K197" s="6" t="s">
        <v>14</v>
      </c>
      <c r="L197" s="6" t="s">
        <v>945</v>
      </c>
      <c r="M197" s="6"/>
      <c r="N197" s="6" t="s">
        <v>937</v>
      </c>
      <c r="O197" s="6" t="s">
        <v>284</v>
      </c>
      <c r="P197" s="6"/>
    </row>
    <row r="198" customFormat="false" ht="23.85" hidden="false" customHeight="false" outlineLevel="0" collapsed="false">
      <c r="A198" s="5" t="n">
        <v>197</v>
      </c>
      <c r="B198" s="6" t="s">
        <v>92</v>
      </c>
      <c r="C198" s="6" t="s">
        <v>942</v>
      </c>
      <c r="D198" s="6" t="s">
        <v>375</v>
      </c>
      <c r="E198" s="6" t="s">
        <v>77</v>
      </c>
      <c r="F198" s="6" t="s">
        <v>946</v>
      </c>
      <c r="G198" s="6"/>
      <c r="H198" s="5" t="n">
        <f aca="false">LEN(F198)</f>
        <v>61</v>
      </c>
      <c r="I198" s="5" t="n">
        <v>3</v>
      </c>
      <c r="J198" s="5" t="n">
        <v>3</v>
      </c>
      <c r="K198" s="6" t="s">
        <v>14</v>
      </c>
      <c r="L198" s="6" t="s">
        <v>947</v>
      </c>
      <c r="M198" s="6"/>
      <c r="N198" s="6" t="s">
        <v>937</v>
      </c>
      <c r="O198" s="6" t="s">
        <v>287</v>
      </c>
      <c r="P198" s="6"/>
    </row>
    <row r="199" customFormat="false" ht="23.85" hidden="false" customHeight="false" outlineLevel="0" collapsed="false">
      <c r="A199" s="5" t="n">
        <v>198</v>
      </c>
      <c r="B199" s="6" t="s">
        <v>92</v>
      </c>
      <c r="C199" s="6" t="s">
        <v>942</v>
      </c>
      <c r="D199" s="6" t="s">
        <v>948</v>
      </c>
      <c r="E199" s="6" t="s">
        <v>77</v>
      </c>
      <c r="F199" s="6" t="s">
        <v>949</v>
      </c>
      <c r="G199" s="6"/>
      <c r="H199" s="5" t="n">
        <f aca="false">LEN(F199)</f>
        <v>45</v>
      </c>
      <c r="I199" s="5" t="n">
        <v>3</v>
      </c>
      <c r="J199" s="5" t="n">
        <v>3</v>
      </c>
      <c r="K199" s="6" t="s">
        <v>14</v>
      </c>
      <c r="L199" s="6" t="s">
        <v>950</v>
      </c>
      <c r="M199" s="6"/>
      <c r="N199" s="6" t="s">
        <v>937</v>
      </c>
      <c r="O199" s="6" t="s">
        <v>289</v>
      </c>
      <c r="P199" s="6"/>
    </row>
    <row r="200" customFormat="false" ht="15" hidden="false" customHeight="false" outlineLevel="0" collapsed="false">
      <c r="A200" s="5" t="n">
        <v>199</v>
      </c>
      <c r="B200" s="6" t="s">
        <v>92</v>
      </c>
      <c r="C200" s="6" t="s">
        <v>951</v>
      </c>
      <c r="D200" s="6" t="s">
        <v>952</v>
      </c>
      <c r="E200" s="6" t="s">
        <v>77</v>
      </c>
      <c r="F200" s="6" t="s">
        <v>953</v>
      </c>
      <c r="G200" s="6"/>
      <c r="H200" s="5" t="n">
        <f aca="false">LEN(F200)</f>
        <v>14</v>
      </c>
      <c r="I200" s="5" t="n">
        <v>5</v>
      </c>
      <c r="J200" s="5" t="n">
        <v>2</v>
      </c>
      <c r="K200" s="6" t="s">
        <v>14</v>
      </c>
      <c r="L200" s="6" t="s">
        <v>954</v>
      </c>
      <c r="M200" s="6"/>
      <c r="N200" s="6" t="s">
        <v>937</v>
      </c>
      <c r="O200" s="6" t="s">
        <v>955</v>
      </c>
      <c r="P200" s="6"/>
    </row>
    <row r="201" customFormat="false" ht="35.05" hidden="false" customHeight="false" outlineLevel="0" collapsed="false">
      <c r="A201" s="5" t="n">
        <v>200</v>
      </c>
      <c r="B201" s="6" t="s">
        <v>92</v>
      </c>
      <c r="C201" s="6" t="s">
        <v>951</v>
      </c>
      <c r="D201" s="6" t="s">
        <v>956</v>
      </c>
      <c r="E201" s="6" t="s">
        <v>77</v>
      </c>
      <c r="F201" s="6" t="s">
        <v>957</v>
      </c>
      <c r="G201" s="6"/>
      <c r="H201" s="5" t="n">
        <f aca="false">LEN(F201)</f>
        <v>29</v>
      </c>
      <c r="I201" s="5" t="n">
        <v>3</v>
      </c>
      <c r="J201" s="5" t="n">
        <v>4</v>
      </c>
      <c r="K201" s="6" t="s">
        <v>43</v>
      </c>
      <c r="L201" s="6" t="s">
        <v>958</v>
      </c>
      <c r="M201" s="6" t="s">
        <v>959</v>
      </c>
      <c r="N201" s="6" t="s">
        <v>937</v>
      </c>
      <c r="O201" s="6" t="s">
        <v>955</v>
      </c>
      <c r="P201" s="6"/>
    </row>
    <row r="202" customFormat="false" ht="15" hidden="false" customHeight="false" outlineLevel="0" collapsed="false">
      <c r="A202" s="5" t="n">
        <v>201</v>
      </c>
      <c r="B202" s="6" t="s">
        <v>92</v>
      </c>
      <c r="C202" s="6" t="s">
        <v>951</v>
      </c>
      <c r="D202" s="6" t="s">
        <v>960</v>
      </c>
      <c r="E202" s="6" t="s">
        <v>77</v>
      </c>
      <c r="F202" s="6" t="s">
        <v>961</v>
      </c>
      <c r="G202" s="6"/>
      <c r="H202" s="5" t="n">
        <f aca="false">LEN(F202)</f>
        <v>28</v>
      </c>
      <c r="I202" s="5" t="n">
        <v>3</v>
      </c>
      <c r="J202" s="5" t="n">
        <v>4</v>
      </c>
      <c r="K202" s="6" t="s">
        <v>43</v>
      </c>
      <c r="L202" s="6" t="s">
        <v>962</v>
      </c>
      <c r="M202" s="6" t="s">
        <v>963</v>
      </c>
      <c r="N202" s="6" t="s">
        <v>937</v>
      </c>
      <c r="O202" s="6" t="s">
        <v>955</v>
      </c>
      <c r="P202" s="6"/>
    </row>
    <row r="203" customFormat="false" ht="15" hidden="false" customHeight="false" outlineLevel="0" collapsed="false">
      <c r="A203" s="5" t="n">
        <v>202</v>
      </c>
      <c r="B203" s="6" t="s">
        <v>92</v>
      </c>
      <c r="C203" s="6" t="s">
        <v>951</v>
      </c>
      <c r="D203" s="6" t="s">
        <v>964</v>
      </c>
      <c r="E203" s="6" t="s">
        <v>77</v>
      </c>
      <c r="F203" s="6" t="s">
        <v>965</v>
      </c>
      <c r="G203" s="6"/>
      <c r="H203" s="5" t="n">
        <f aca="false">LEN(F203)</f>
        <v>29</v>
      </c>
      <c r="I203" s="5" t="n">
        <v>3</v>
      </c>
      <c r="J203" s="5" t="n">
        <v>4</v>
      </c>
      <c r="K203" s="6" t="s">
        <v>43</v>
      </c>
      <c r="L203" s="6" t="s">
        <v>962</v>
      </c>
      <c r="M203" s="6" t="s">
        <v>966</v>
      </c>
      <c r="N203" s="6" t="s">
        <v>937</v>
      </c>
      <c r="O203" s="6" t="s">
        <v>967</v>
      </c>
      <c r="P203" s="6"/>
    </row>
    <row r="204" customFormat="false" ht="23.85" hidden="false" customHeight="false" outlineLevel="0" collapsed="false">
      <c r="A204" s="5" t="n">
        <v>203</v>
      </c>
      <c r="B204" s="6" t="s">
        <v>92</v>
      </c>
      <c r="C204" s="6" t="s">
        <v>951</v>
      </c>
      <c r="D204" s="6" t="s">
        <v>968</v>
      </c>
      <c r="E204" s="6" t="s">
        <v>77</v>
      </c>
      <c r="F204" s="6" t="s">
        <v>969</v>
      </c>
      <c r="G204" s="6"/>
      <c r="H204" s="5" t="n">
        <f aca="false">LEN(F204)</f>
        <v>15</v>
      </c>
      <c r="I204" s="5" t="n">
        <v>5</v>
      </c>
      <c r="J204" s="5" t="n">
        <v>3</v>
      </c>
      <c r="K204" s="6" t="s">
        <v>14</v>
      </c>
      <c r="L204" s="6" t="s">
        <v>970</v>
      </c>
      <c r="M204" s="6"/>
      <c r="N204" s="6" t="s">
        <v>937</v>
      </c>
      <c r="O204" s="6" t="s">
        <v>967</v>
      </c>
      <c r="P204" s="6"/>
    </row>
    <row r="205" customFormat="false" ht="23.85" hidden="false" customHeight="false" outlineLevel="0" collapsed="false">
      <c r="A205" s="5" t="n">
        <v>204</v>
      </c>
      <c r="B205" s="6" t="s">
        <v>92</v>
      </c>
      <c r="C205" s="6" t="s">
        <v>971</v>
      </c>
      <c r="D205" s="6" t="s">
        <v>917</v>
      </c>
      <c r="E205" s="6" t="s">
        <v>77</v>
      </c>
      <c r="F205" s="6" t="s">
        <v>972</v>
      </c>
      <c r="G205" s="6"/>
      <c r="H205" s="5" t="n">
        <f aca="false">LEN(F205)</f>
        <v>106</v>
      </c>
      <c r="I205" s="5" t="n">
        <v>5</v>
      </c>
      <c r="J205" s="5" t="n">
        <v>5</v>
      </c>
      <c r="K205" s="6" t="s">
        <v>12</v>
      </c>
      <c r="L205" s="6" t="s">
        <v>973</v>
      </c>
      <c r="M205" s="6"/>
      <c r="N205" s="6" t="s">
        <v>937</v>
      </c>
      <c r="O205" s="6" t="s">
        <v>974</v>
      </c>
      <c r="P205" s="6"/>
    </row>
    <row r="206" customFormat="false" ht="15" hidden="false" customHeight="false" outlineLevel="0" collapsed="false">
      <c r="A206" s="5" t="n">
        <v>205</v>
      </c>
      <c r="B206" s="6" t="s">
        <v>92</v>
      </c>
      <c r="C206" s="6" t="s">
        <v>971</v>
      </c>
      <c r="D206" s="6" t="s">
        <v>975</v>
      </c>
      <c r="E206" s="6" t="s">
        <v>77</v>
      </c>
      <c r="F206" s="6" t="s">
        <v>913</v>
      </c>
      <c r="G206" s="6"/>
      <c r="H206" s="5" t="n">
        <f aca="false">LEN(F206)</f>
        <v>15</v>
      </c>
      <c r="I206" s="5" t="n">
        <v>5</v>
      </c>
      <c r="J206" s="5" t="n">
        <v>2</v>
      </c>
      <c r="K206" s="6" t="s">
        <v>14</v>
      </c>
      <c r="L206" s="6" t="s">
        <v>914</v>
      </c>
      <c r="M206" s="6"/>
      <c r="N206" s="6" t="s">
        <v>937</v>
      </c>
      <c r="O206" s="6" t="s">
        <v>976</v>
      </c>
      <c r="P206" s="6"/>
    </row>
    <row r="207" customFormat="false" ht="23.85" hidden="false" customHeight="false" outlineLevel="0" collapsed="false">
      <c r="A207" s="5" t="n">
        <v>206</v>
      </c>
      <c r="B207" s="6" t="s">
        <v>92</v>
      </c>
      <c r="C207" s="6" t="s">
        <v>971</v>
      </c>
      <c r="D207" s="6" t="s">
        <v>977</v>
      </c>
      <c r="E207" s="6" t="s">
        <v>77</v>
      </c>
      <c r="F207" s="6" t="s">
        <v>978</v>
      </c>
      <c r="G207" s="6"/>
      <c r="H207" s="5" t="n">
        <f aca="false">LEN(F207)</f>
        <v>56</v>
      </c>
      <c r="I207" s="5" t="n">
        <v>5</v>
      </c>
      <c r="J207" s="5" t="n">
        <v>4</v>
      </c>
      <c r="K207" s="6" t="s">
        <v>12</v>
      </c>
      <c r="L207" s="6" t="s">
        <v>979</v>
      </c>
      <c r="M207" s="6"/>
      <c r="N207" s="6" t="s">
        <v>937</v>
      </c>
      <c r="O207" s="6" t="s">
        <v>980</v>
      </c>
      <c r="P207" s="6"/>
    </row>
    <row r="208" customFormat="false" ht="23.85" hidden="false" customHeight="false" outlineLevel="0" collapsed="false">
      <c r="A208" s="5" t="n">
        <v>207</v>
      </c>
      <c r="B208" s="6" t="s">
        <v>92</v>
      </c>
      <c r="C208" s="6" t="s">
        <v>971</v>
      </c>
      <c r="D208" s="6" t="s">
        <v>981</v>
      </c>
      <c r="E208" s="6" t="s">
        <v>77</v>
      </c>
      <c r="F208" s="6" t="s">
        <v>982</v>
      </c>
      <c r="G208" s="6"/>
      <c r="H208" s="5" t="n">
        <f aca="false">LEN(F208)</f>
        <v>95</v>
      </c>
      <c r="I208" s="5" t="n">
        <v>5</v>
      </c>
      <c r="J208" s="5" t="n">
        <v>5</v>
      </c>
      <c r="K208" s="6" t="s">
        <v>12</v>
      </c>
      <c r="L208" s="6" t="s">
        <v>983</v>
      </c>
      <c r="M208" s="6"/>
      <c r="N208" s="6" t="s">
        <v>937</v>
      </c>
      <c r="O208" s="6" t="s">
        <v>984</v>
      </c>
      <c r="P208" s="6"/>
    </row>
    <row r="209" customFormat="false" ht="15" hidden="false" customHeight="false" outlineLevel="0" collapsed="false">
      <c r="A209" s="5" t="n">
        <v>208</v>
      </c>
      <c r="B209" s="6" t="s">
        <v>92</v>
      </c>
      <c r="C209" s="6" t="s">
        <v>908</v>
      </c>
      <c r="D209" s="6" t="s">
        <v>985</v>
      </c>
      <c r="E209" s="6" t="s">
        <v>77</v>
      </c>
      <c r="F209" s="6" t="s">
        <v>986</v>
      </c>
      <c r="G209" s="6"/>
      <c r="H209" s="5" t="n">
        <f aca="false">LEN(F209)</f>
        <v>37</v>
      </c>
      <c r="I209" s="5" t="n">
        <v>5</v>
      </c>
      <c r="J209" s="5" t="n">
        <v>2</v>
      </c>
      <c r="K209" s="6" t="s">
        <v>14</v>
      </c>
      <c r="L209" s="6" t="s">
        <v>987</v>
      </c>
      <c r="M209" s="6"/>
      <c r="N209" s="6" t="s">
        <v>937</v>
      </c>
      <c r="O209" s="6" t="s">
        <v>988</v>
      </c>
      <c r="P209" s="6"/>
    </row>
    <row r="210" customFormat="false" ht="15" hidden="false" customHeight="false" outlineLevel="0" collapsed="false">
      <c r="A210" s="5" t="n">
        <v>209</v>
      </c>
      <c r="B210" s="6" t="s">
        <v>92</v>
      </c>
      <c r="C210" s="6" t="s">
        <v>989</v>
      </c>
      <c r="D210" s="6" t="s">
        <v>253</v>
      </c>
      <c r="E210" s="6" t="s">
        <v>77</v>
      </c>
      <c r="F210" s="6" t="s">
        <v>990</v>
      </c>
      <c r="G210" s="6"/>
      <c r="H210" s="5" t="n">
        <f aca="false">LEN(F210)</f>
        <v>20</v>
      </c>
      <c r="I210" s="5" t="n">
        <v>5</v>
      </c>
      <c r="J210" s="5" t="n">
        <v>2</v>
      </c>
      <c r="K210" s="6" t="s">
        <v>14</v>
      </c>
      <c r="L210" s="6" t="s">
        <v>255</v>
      </c>
      <c r="M210" s="6"/>
      <c r="N210" s="6" t="s">
        <v>937</v>
      </c>
      <c r="O210" s="6" t="s">
        <v>991</v>
      </c>
      <c r="P210" s="6"/>
    </row>
    <row r="211" customFormat="false" ht="15" hidden="false" customHeight="false" outlineLevel="0" collapsed="false">
      <c r="A211" s="5" t="n">
        <v>210</v>
      </c>
      <c r="B211" s="6" t="s">
        <v>92</v>
      </c>
      <c r="C211" s="6" t="s">
        <v>992</v>
      </c>
      <c r="D211" s="6" t="s">
        <v>993</v>
      </c>
      <c r="E211" s="6" t="s">
        <v>77</v>
      </c>
      <c r="F211" s="6" t="s">
        <v>994</v>
      </c>
      <c r="G211" s="6"/>
      <c r="H211" s="5" t="n">
        <f aca="false">LEN(F211)</f>
        <v>8</v>
      </c>
      <c r="I211" s="5" t="n">
        <v>4</v>
      </c>
      <c r="J211" s="5" t="n">
        <v>2</v>
      </c>
      <c r="K211" s="6" t="s">
        <v>14</v>
      </c>
      <c r="L211" s="6" t="s">
        <v>995</v>
      </c>
      <c r="M211" s="6"/>
      <c r="N211" s="6" t="s">
        <v>937</v>
      </c>
      <c r="O211" s="6" t="s">
        <v>996</v>
      </c>
      <c r="P211" s="6" t="s">
        <v>997</v>
      </c>
    </row>
    <row r="212" customFormat="false" ht="15" hidden="false" customHeight="false" outlineLevel="0" collapsed="false">
      <c r="A212" s="5" t="n">
        <v>211</v>
      </c>
      <c r="B212" s="6" t="s">
        <v>310</v>
      </c>
      <c r="C212" s="6" t="s">
        <v>998</v>
      </c>
      <c r="D212" s="6" t="s">
        <v>253</v>
      </c>
      <c r="E212" s="6" t="s">
        <v>77</v>
      </c>
      <c r="F212" s="6" t="s">
        <v>999</v>
      </c>
      <c r="G212" s="6"/>
      <c r="H212" s="5" t="n">
        <f aca="false">LEN(F212)</f>
        <v>18</v>
      </c>
      <c r="I212" s="5" t="n">
        <v>4</v>
      </c>
      <c r="J212" s="5" t="n">
        <v>2</v>
      </c>
      <c r="K212" s="6" t="s">
        <v>14</v>
      </c>
      <c r="L212" s="6" t="s">
        <v>255</v>
      </c>
      <c r="M212" s="6"/>
      <c r="N212" s="6" t="s">
        <v>1000</v>
      </c>
      <c r="O212" s="6" t="s">
        <v>915</v>
      </c>
      <c r="P212" s="6"/>
    </row>
    <row r="213" customFormat="false" ht="15" hidden="false" customHeight="false" outlineLevel="0" collapsed="false">
      <c r="A213" s="5" t="n">
        <v>212</v>
      </c>
      <c r="B213" s="6" t="s">
        <v>310</v>
      </c>
      <c r="C213" s="6" t="s">
        <v>1001</v>
      </c>
      <c r="D213" s="6" t="s">
        <v>134</v>
      </c>
      <c r="E213" s="6" t="s">
        <v>77</v>
      </c>
      <c r="F213" s="6" t="s">
        <v>999</v>
      </c>
      <c r="G213" s="6"/>
      <c r="H213" s="5" t="n">
        <f aca="false">LEN(F213)</f>
        <v>18</v>
      </c>
      <c r="I213" s="5" t="n">
        <v>4</v>
      </c>
      <c r="J213" s="5" t="n">
        <v>2</v>
      </c>
      <c r="K213" s="6" t="s">
        <v>14</v>
      </c>
      <c r="L213" s="6" t="s">
        <v>136</v>
      </c>
      <c r="M213" s="6"/>
      <c r="N213" s="6" t="s">
        <v>1000</v>
      </c>
      <c r="O213" s="6" t="s">
        <v>1002</v>
      </c>
      <c r="P213" s="6"/>
    </row>
    <row r="214" customFormat="false" ht="15" hidden="false" customHeight="false" outlineLevel="0" collapsed="false">
      <c r="A214" s="5" t="n">
        <v>213</v>
      </c>
      <c r="B214" s="6" t="s">
        <v>310</v>
      </c>
      <c r="C214" s="6" t="s">
        <v>1003</v>
      </c>
      <c r="D214" s="6" t="s">
        <v>1004</v>
      </c>
      <c r="E214" s="6" t="s">
        <v>77</v>
      </c>
      <c r="F214" s="6" t="s">
        <v>1005</v>
      </c>
      <c r="G214" s="6"/>
      <c r="H214" s="5" t="n">
        <f aca="false">LEN(F214)</f>
        <v>14</v>
      </c>
      <c r="I214" s="5" t="n">
        <v>4</v>
      </c>
      <c r="J214" s="5" t="n">
        <v>3</v>
      </c>
      <c r="K214" s="6" t="s">
        <v>14</v>
      </c>
      <c r="L214" s="6" t="s">
        <v>1006</v>
      </c>
      <c r="M214" s="6"/>
      <c r="N214" s="6" t="s">
        <v>1000</v>
      </c>
      <c r="O214" s="6" t="s">
        <v>1007</v>
      </c>
      <c r="P214" s="6" t="s">
        <v>1008</v>
      </c>
    </row>
    <row r="215" customFormat="false" ht="15" hidden="false" customHeight="false" outlineLevel="0" collapsed="false">
      <c r="A215" s="5" t="n">
        <v>214</v>
      </c>
      <c r="B215" s="6" t="s">
        <v>310</v>
      </c>
      <c r="C215" s="6" t="s">
        <v>1009</v>
      </c>
      <c r="D215" s="6" t="s">
        <v>1004</v>
      </c>
      <c r="E215" s="6" t="s">
        <v>77</v>
      </c>
      <c r="F215" s="6" t="s">
        <v>84</v>
      </c>
      <c r="G215" s="6"/>
      <c r="H215" s="5" t="n">
        <f aca="false">LEN(F215)</f>
        <v>5</v>
      </c>
      <c r="I215" s="5" t="n">
        <v>4</v>
      </c>
      <c r="J215" s="5" t="n">
        <v>3</v>
      </c>
      <c r="K215" s="6" t="s">
        <v>14</v>
      </c>
      <c r="L215" s="6" t="s">
        <v>1006</v>
      </c>
      <c r="M215" s="6"/>
      <c r="N215" s="6" t="s">
        <v>1000</v>
      </c>
      <c r="O215" s="6" t="s">
        <v>1010</v>
      </c>
      <c r="P215" s="6" t="s">
        <v>1011</v>
      </c>
    </row>
    <row r="216" customFormat="false" ht="23.85" hidden="false" customHeight="false" outlineLevel="0" collapsed="false">
      <c r="A216" s="5" t="n">
        <v>215</v>
      </c>
      <c r="B216" s="6" t="s">
        <v>971</v>
      </c>
      <c r="C216" s="6" t="s">
        <v>1012</v>
      </c>
      <c r="D216" s="6" t="s">
        <v>1013</v>
      </c>
      <c r="E216" s="6" t="s">
        <v>77</v>
      </c>
      <c r="F216" s="6" t="s">
        <v>1014</v>
      </c>
      <c r="G216" s="6"/>
      <c r="H216" s="5" t="n">
        <f aca="false">LEN(F216)</f>
        <v>57</v>
      </c>
      <c r="I216" s="5" t="n">
        <v>3</v>
      </c>
      <c r="J216" s="5" t="n">
        <v>3</v>
      </c>
      <c r="K216" s="6" t="s">
        <v>14</v>
      </c>
      <c r="L216" s="6" t="s">
        <v>1015</v>
      </c>
      <c r="M216" s="6"/>
      <c r="N216" s="6" t="s">
        <v>1016</v>
      </c>
      <c r="O216" s="6" t="s">
        <v>291</v>
      </c>
      <c r="P216" s="6"/>
    </row>
    <row r="217" customFormat="false" ht="23.85" hidden="false" customHeight="false" outlineLevel="0" collapsed="false">
      <c r="A217" s="5" t="n">
        <v>216</v>
      </c>
      <c r="B217" s="6" t="s">
        <v>971</v>
      </c>
      <c r="C217" s="6" t="s">
        <v>1012</v>
      </c>
      <c r="D217" s="6" t="s">
        <v>1017</v>
      </c>
      <c r="E217" s="6" t="s">
        <v>77</v>
      </c>
      <c r="F217" s="6" t="s">
        <v>1018</v>
      </c>
      <c r="G217" s="6"/>
      <c r="H217" s="5" t="n">
        <f aca="false">LEN(F217)</f>
        <v>39</v>
      </c>
      <c r="I217" s="5" t="n">
        <v>5</v>
      </c>
      <c r="J217" s="5" t="n">
        <v>3</v>
      </c>
      <c r="K217" s="6" t="s">
        <v>14</v>
      </c>
      <c r="L217" s="6" t="s">
        <v>1015</v>
      </c>
      <c r="M217" s="6"/>
      <c r="N217" s="6" t="s">
        <v>1016</v>
      </c>
      <c r="O217" s="6" t="s">
        <v>293</v>
      </c>
      <c r="P217" s="6"/>
    </row>
  </sheetData>
  <autoFilter ref="A1:P217"/>
  <conditionalFormatting sqref="I2:I217">
    <cfRule type="cellIs" priority="2" operator="lessThanOrEqual" aboveAverage="0" equalAverage="0" bottom="0" percent="0" rank="0" text="" dxfId="6">
      <formula>2</formula>
    </cfRule>
    <cfRule type="cellIs" priority="3" operator="equal" aboveAverage="0" equalAverage="0" bottom="0" percent="0" rank="0" text="" dxfId="7">
      <formula>3</formula>
    </cfRule>
    <cfRule type="cellIs" priority="4" operator="greaterThanOrEqual" aboveAverage="0" equalAverage="0" bottom="0" percent="0" rank="0" text="" dxfId="8">
      <formula>4</formula>
    </cfRule>
  </conditionalFormatting>
  <conditionalFormatting sqref="J2:J217">
    <cfRule type="cellIs" priority="5" operator="lessThanOrEqual" aboveAverage="0" equalAverage="0" bottom="0" percent="0" rank="0" text="" dxfId="6">
      <formula>2</formula>
    </cfRule>
    <cfRule type="cellIs" priority="6" operator="equal" aboveAverage="0" equalAverage="0" bottom="0" percent="0" rank="0" text="" dxfId="7">
      <formula>3</formula>
    </cfRule>
    <cfRule type="cellIs" priority="7" operator="greaterThanOrEqual" aboveAverage="0" equalAverage="0" bottom="0" percent="0" rank="0" text="" dxfId="8">
      <formula>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40"/>
    <col collapsed="false" customWidth="true" hidden="false" outlineLevel="0" max="4" min="4" style="0" width="80"/>
    <col collapsed="false" customWidth="true" hidden="false" outlineLevel="0" max="5" min="5" style="0" width="30"/>
    <col collapsed="false" customWidth="true" hidden="false" outlineLevel="0" max="6" min="6" style="0" width="12"/>
  </cols>
  <sheetData>
    <row r="1" customFormat="false" ht="30" hidden="false" customHeight="true" outlineLevel="0" collapsed="false">
      <c r="A1" s="4" t="s">
        <v>67</v>
      </c>
      <c r="B1" s="4" t="s">
        <v>69</v>
      </c>
      <c r="C1" s="4" t="s">
        <v>70</v>
      </c>
      <c r="D1" s="4" t="s">
        <v>49</v>
      </c>
      <c r="E1" s="4" t="s">
        <v>73</v>
      </c>
      <c r="F1" s="4" t="s">
        <v>57</v>
      </c>
    </row>
    <row r="2" customFormat="false" ht="15" hidden="false" customHeight="false" outlineLevel="0" collapsed="false">
      <c r="A2" s="5" t="n">
        <v>1</v>
      </c>
      <c r="B2" s="6" t="s">
        <v>1019</v>
      </c>
      <c r="C2" s="6" t="s">
        <v>1020</v>
      </c>
      <c r="D2" s="6" t="s">
        <v>1021</v>
      </c>
      <c r="E2" s="6" t="s">
        <v>937</v>
      </c>
      <c r="F2" s="6" t="s">
        <v>1022</v>
      </c>
    </row>
    <row r="3" customFormat="false" ht="15" hidden="false" customHeight="false" outlineLevel="0" collapsed="false">
      <c r="A3" s="5" t="n">
        <v>2</v>
      </c>
      <c r="B3" s="6" t="s">
        <v>1023</v>
      </c>
      <c r="C3" s="6" t="s">
        <v>1024</v>
      </c>
      <c r="D3" s="6" t="s">
        <v>1025</v>
      </c>
      <c r="E3" s="6" t="s">
        <v>937</v>
      </c>
      <c r="F3" s="6" t="s">
        <v>1026</v>
      </c>
    </row>
    <row r="4" customFormat="false" ht="15" hidden="false" customHeight="false" outlineLevel="0" collapsed="false">
      <c r="A4" s="5" t="n">
        <v>3</v>
      </c>
      <c r="B4" s="6" t="s">
        <v>1023</v>
      </c>
      <c r="C4" s="6" t="s">
        <v>1027</v>
      </c>
      <c r="D4" s="6" t="s">
        <v>1028</v>
      </c>
      <c r="E4" s="6" t="s">
        <v>937</v>
      </c>
      <c r="F4" s="6" t="s">
        <v>1029</v>
      </c>
    </row>
    <row r="5" customFormat="false" ht="15" hidden="false" customHeight="false" outlineLevel="0" collapsed="false">
      <c r="A5" s="5" t="n">
        <v>4</v>
      </c>
      <c r="B5" s="6" t="s">
        <v>1023</v>
      </c>
      <c r="C5" s="6" t="s">
        <v>1030</v>
      </c>
      <c r="D5" s="6" t="s">
        <v>1031</v>
      </c>
      <c r="E5" s="6" t="s">
        <v>937</v>
      </c>
      <c r="F5" s="6" t="s">
        <v>1032</v>
      </c>
    </row>
    <row r="6" customFormat="false" ht="15" hidden="false" customHeight="false" outlineLevel="0" collapsed="false">
      <c r="A6" s="5" t="n">
        <v>5</v>
      </c>
      <c r="B6" s="6" t="s">
        <v>1023</v>
      </c>
      <c r="C6" s="6" t="s">
        <v>1033</v>
      </c>
      <c r="D6" s="6" t="s">
        <v>1034</v>
      </c>
      <c r="E6" s="6" t="s">
        <v>937</v>
      </c>
      <c r="F6" s="6" t="s">
        <v>1035</v>
      </c>
    </row>
    <row r="7" customFormat="false" ht="23.85" hidden="false" customHeight="false" outlineLevel="0" collapsed="false">
      <c r="A7" s="5" t="n">
        <v>6</v>
      </c>
      <c r="B7" s="6" t="s">
        <v>1023</v>
      </c>
      <c r="C7" s="6" t="s">
        <v>1036</v>
      </c>
      <c r="D7" s="6" t="s">
        <v>1037</v>
      </c>
      <c r="E7" s="6" t="s">
        <v>937</v>
      </c>
      <c r="F7" s="6" t="s">
        <v>1038</v>
      </c>
    </row>
    <row r="8" customFormat="false" ht="23.85" hidden="false" customHeight="false" outlineLevel="0" collapsed="false">
      <c r="A8" s="5" t="n">
        <v>7</v>
      </c>
      <c r="B8" s="6" t="s">
        <v>1023</v>
      </c>
      <c r="C8" s="6" t="s">
        <v>1039</v>
      </c>
      <c r="D8" s="6" t="s">
        <v>1040</v>
      </c>
      <c r="E8" s="6" t="s">
        <v>937</v>
      </c>
      <c r="F8" s="6" t="s">
        <v>359</v>
      </c>
    </row>
    <row r="9" customFormat="false" ht="15" hidden="false" customHeight="false" outlineLevel="0" collapsed="false">
      <c r="A9" s="5" t="n">
        <v>8</v>
      </c>
      <c r="B9" s="6" t="s">
        <v>1023</v>
      </c>
      <c r="C9" s="6" t="s">
        <v>1041</v>
      </c>
      <c r="D9" s="6" t="s">
        <v>1042</v>
      </c>
      <c r="E9" s="6" t="s">
        <v>937</v>
      </c>
      <c r="F9" s="6" t="s">
        <v>363</v>
      </c>
    </row>
    <row r="10" customFormat="false" ht="15" hidden="false" customHeight="false" outlineLevel="0" collapsed="false">
      <c r="A10" s="5" t="n">
        <v>9</v>
      </c>
      <c r="B10" s="6" t="s">
        <v>1023</v>
      </c>
      <c r="C10" s="6" t="s">
        <v>1043</v>
      </c>
      <c r="D10" s="6" t="s">
        <v>1044</v>
      </c>
      <c r="E10" s="6" t="s">
        <v>937</v>
      </c>
      <c r="F10" s="6" t="s">
        <v>1045</v>
      </c>
    </row>
    <row r="11" customFormat="false" ht="15" hidden="false" customHeight="false" outlineLevel="0" collapsed="false">
      <c r="A11" s="5" t="n">
        <v>10</v>
      </c>
      <c r="B11" s="6" t="s">
        <v>1023</v>
      </c>
      <c r="C11" s="6" t="s">
        <v>1046</v>
      </c>
      <c r="D11" s="6" t="s">
        <v>1047</v>
      </c>
      <c r="E11" s="6" t="s">
        <v>937</v>
      </c>
      <c r="F11" s="6" t="s">
        <v>1048</v>
      </c>
    </row>
    <row r="12" customFormat="false" ht="15" hidden="false" customHeight="false" outlineLevel="0" collapsed="false">
      <c r="A12" s="5" t="n">
        <v>11</v>
      </c>
      <c r="B12" s="6" t="s">
        <v>1023</v>
      </c>
      <c r="C12" s="6" t="s">
        <v>1049</v>
      </c>
      <c r="D12" s="6" t="s">
        <v>1050</v>
      </c>
      <c r="E12" s="6" t="s">
        <v>937</v>
      </c>
      <c r="F12" s="6" t="s">
        <v>1051</v>
      </c>
    </row>
    <row r="13" customFormat="false" ht="15" hidden="false" customHeight="false" outlineLevel="0" collapsed="false">
      <c r="A13" s="5" t="n">
        <v>12</v>
      </c>
      <c r="B13" s="6" t="s">
        <v>1023</v>
      </c>
      <c r="C13" s="6" t="s">
        <v>1052</v>
      </c>
      <c r="D13" s="6" t="s">
        <v>990</v>
      </c>
      <c r="E13" s="6" t="s">
        <v>937</v>
      </c>
      <c r="F13" s="6" t="s">
        <v>1053</v>
      </c>
    </row>
    <row r="14" customFormat="false" ht="15" hidden="false" customHeight="false" outlineLevel="0" collapsed="false">
      <c r="A14" s="5" t="n">
        <v>13</v>
      </c>
      <c r="B14" s="6" t="s">
        <v>1054</v>
      </c>
      <c r="C14" s="6" t="s">
        <v>1055</v>
      </c>
      <c r="D14" s="6" t="s">
        <v>1056</v>
      </c>
      <c r="E14" s="6" t="s">
        <v>937</v>
      </c>
      <c r="F14" s="6" t="s">
        <v>202</v>
      </c>
    </row>
    <row r="15" customFormat="false" ht="15" hidden="false" customHeight="false" outlineLevel="0" collapsed="false">
      <c r="A15" s="5" t="n">
        <v>14</v>
      </c>
      <c r="B15" s="6" t="s">
        <v>1054</v>
      </c>
      <c r="C15" s="6" t="s">
        <v>1057</v>
      </c>
      <c r="D15" s="6" t="s">
        <v>1058</v>
      </c>
      <c r="E15" s="6" t="s">
        <v>937</v>
      </c>
      <c r="F15" s="6" t="s">
        <v>490</v>
      </c>
    </row>
    <row r="16" customFormat="false" ht="15" hidden="false" customHeight="false" outlineLevel="0" collapsed="false">
      <c r="A16" s="5" t="n">
        <v>15</v>
      </c>
      <c r="B16" s="6" t="s">
        <v>1054</v>
      </c>
      <c r="C16" s="6" t="s">
        <v>1052</v>
      </c>
      <c r="D16" s="6" t="s">
        <v>1059</v>
      </c>
      <c r="E16" s="6" t="s">
        <v>937</v>
      </c>
      <c r="F16" s="6" t="s">
        <v>1060</v>
      </c>
    </row>
    <row r="17" customFormat="false" ht="15" hidden="false" customHeight="false" outlineLevel="0" collapsed="false">
      <c r="A17" s="5" t="n">
        <v>16</v>
      </c>
      <c r="B17" s="6" t="s">
        <v>1061</v>
      </c>
      <c r="C17" s="6" t="s">
        <v>1062</v>
      </c>
      <c r="D17" s="6" t="s">
        <v>1063</v>
      </c>
      <c r="E17" s="6" t="s">
        <v>1064</v>
      </c>
      <c r="F17" s="6" t="s">
        <v>449</v>
      </c>
    </row>
    <row r="18" customFormat="false" ht="15" hidden="false" customHeight="false" outlineLevel="0" collapsed="false">
      <c r="A18" s="5" t="n">
        <v>17</v>
      </c>
      <c r="B18" s="6" t="s">
        <v>1061</v>
      </c>
      <c r="C18" s="6" t="s">
        <v>1065</v>
      </c>
      <c r="D18" s="6" t="s">
        <v>1066</v>
      </c>
      <c r="E18" s="6" t="s">
        <v>1064</v>
      </c>
      <c r="F18" s="6" t="s">
        <v>730</v>
      </c>
    </row>
    <row r="19" customFormat="false" ht="15" hidden="false" customHeight="false" outlineLevel="0" collapsed="false">
      <c r="A19" s="5" t="n">
        <v>18</v>
      </c>
      <c r="B19" s="6" t="s">
        <v>1061</v>
      </c>
      <c r="C19" s="6" t="s">
        <v>1052</v>
      </c>
      <c r="D19" s="6" t="s">
        <v>1059</v>
      </c>
      <c r="E19" s="6" t="s">
        <v>1064</v>
      </c>
      <c r="F19" s="6" t="s">
        <v>1067</v>
      </c>
    </row>
    <row r="20" customFormat="false" ht="15" hidden="false" customHeight="false" outlineLevel="0" collapsed="false">
      <c r="A20" s="5" t="n">
        <v>19</v>
      </c>
      <c r="B20" s="6" t="s">
        <v>1061</v>
      </c>
      <c r="C20" s="6" t="s">
        <v>1068</v>
      </c>
      <c r="D20" s="6" t="s">
        <v>356</v>
      </c>
      <c r="E20" s="6" t="s">
        <v>1064</v>
      </c>
      <c r="F20" s="6" t="s">
        <v>1069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90"/>
    <col collapsed="false" customWidth="true" hidden="false" outlineLevel="0" max="3" min="3" style="0" width="70"/>
  </cols>
  <sheetData>
    <row r="1" customFormat="false" ht="30" hidden="false" customHeight="true" outlineLevel="0" collapsed="false">
      <c r="A1" s="4" t="s">
        <v>1070</v>
      </c>
      <c r="B1" s="4" t="s">
        <v>69</v>
      </c>
      <c r="C1" s="4" t="s">
        <v>1071</v>
      </c>
    </row>
    <row r="2" customFormat="false" ht="35.05" hidden="false" customHeight="false" outlineLevel="0" collapsed="false">
      <c r="A2" s="7" t="s">
        <v>1072</v>
      </c>
      <c r="B2" s="6" t="s">
        <v>1073</v>
      </c>
      <c r="C2" s="6" t="s">
        <v>1074</v>
      </c>
    </row>
    <row r="3" customFormat="false" ht="57.45" hidden="false" customHeight="false" outlineLevel="0" collapsed="false">
      <c r="A3" s="7" t="s">
        <v>1075</v>
      </c>
      <c r="B3" s="6" t="s">
        <v>1076</v>
      </c>
      <c r="C3" s="6" t="s">
        <v>1077</v>
      </c>
    </row>
    <row r="4" customFormat="false" ht="35.05" hidden="false" customHeight="false" outlineLevel="0" collapsed="false">
      <c r="A4" s="7" t="s">
        <v>1078</v>
      </c>
      <c r="B4" s="6" t="s">
        <v>1079</v>
      </c>
      <c r="C4" s="6" t="s">
        <v>1080</v>
      </c>
    </row>
    <row r="5" customFormat="false" ht="23.85" hidden="false" customHeight="false" outlineLevel="0" collapsed="false">
      <c r="A5" s="7" t="s">
        <v>1081</v>
      </c>
      <c r="B5" s="6" t="s">
        <v>1082</v>
      </c>
      <c r="C5" s="6" t="s">
        <v>1083</v>
      </c>
    </row>
    <row r="6" customFormat="false" ht="35.05" hidden="false" customHeight="false" outlineLevel="0" collapsed="false">
      <c r="A6" s="7" t="s">
        <v>1084</v>
      </c>
      <c r="B6" s="6" t="s">
        <v>1085</v>
      </c>
      <c r="C6" s="6" t="s">
        <v>1086</v>
      </c>
    </row>
    <row r="7" customFormat="false" ht="35.05" hidden="false" customHeight="false" outlineLevel="0" collapsed="false">
      <c r="A7" s="7" t="s">
        <v>1087</v>
      </c>
      <c r="B7" s="6" t="s">
        <v>1088</v>
      </c>
      <c r="C7" s="6" t="s">
        <v>1089</v>
      </c>
    </row>
    <row r="8" customFormat="false" ht="35.05" hidden="false" customHeight="false" outlineLevel="0" collapsed="false">
      <c r="A8" s="7" t="s">
        <v>1090</v>
      </c>
      <c r="B8" s="6" t="s">
        <v>1091</v>
      </c>
      <c r="C8" s="6" t="s">
        <v>1092</v>
      </c>
    </row>
    <row r="9" customFormat="false" ht="23.85" hidden="false" customHeight="false" outlineLevel="0" collapsed="false">
      <c r="A9" s="7" t="s">
        <v>1093</v>
      </c>
      <c r="B9" s="6" t="s">
        <v>1094</v>
      </c>
      <c r="C9" s="6" t="s">
        <v>1095</v>
      </c>
    </row>
    <row r="10" customFormat="false" ht="23.85" hidden="false" customHeight="false" outlineLevel="0" collapsed="false">
      <c r="A10" s="7" t="s">
        <v>1096</v>
      </c>
      <c r="B10" s="6" t="s">
        <v>1097</v>
      </c>
      <c r="C10" s="6" t="s">
        <v>1098</v>
      </c>
    </row>
    <row r="11" customFormat="false" ht="23.85" hidden="false" customHeight="false" outlineLevel="0" collapsed="false">
      <c r="A11" s="7" t="s">
        <v>1099</v>
      </c>
      <c r="B11" s="6" t="s">
        <v>1100</v>
      </c>
      <c r="C11" s="6" t="s">
        <v>1101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2026-10-10T21:55:30Z</dcterms:created>
  <dc:creator>openpyxl</dc:creator>
  <dc:description/>
  <dc:language>en-US</dc:language>
  <cp:lastModifiedBy/>
  <dcterms:modified xsi:type="dcterms:W3CDTF">2026-10-10T21:55:30Z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