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Tooltips" sheetId="2" state="visible" r:id="rId4"/>
    <sheet name="Developer only" sheetId="3" state="visible" r:id="rId5"/>
    <sheet name="Patterns" sheetId="4" state="visible" r:id="rId6"/>
  </sheets>
  <definedNames>
    <definedName function="false" hidden="true" localSheetId="1" name="_xlnm._FilterDatabase" vbProcedure="false">Tooltips!$A$1:$O$217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<sst xmlns="http://schemas.openxmlformats.org/spreadsheetml/2006/main" count="2274" uniqueCount="1109">
  <si>
    <t xml:space="preserve">Kobold Clicker: every tooltip, rated</t>
  </si>
  <si>
    <t xml:space="preserve">Exported</t>
  </si>
  <si>
    <t xml:space="preserve">2026-10-10, from the working tree (branch dialogue-voices)</t>
  </si>
  <si>
    <t xml:space="preserve">Sheets</t>
  </si>
  <si>
    <t xml:space="preserve">Tooltips</t>
  </si>
  <si>
    <t xml:space="preserve">Every tooltip a player can meet, one row each, with two ratings, a verdict and, where it helps, a rewrite. Filter by Area, Kind or Verdict.</t>
  </si>
  <si>
    <t xml:space="preserve">Developer only</t>
  </si>
  <si>
    <t xml:space="preserve">The tooltips of the developer screens, which a release build does not have. Listed, not rated.</t>
  </si>
  <si>
    <t xml:space="preserve">Patterns</t>
  </si>
  <si>
    <t xml:space="preserve">Habits that run through the tooltips as a whole.</t>
  </si>
  <si>
    <t xml:space="preserve">Counts</t>
  </si>
  <si>
    <t xml:space="preserve">Rows</t>
  </si>
  <si>
    <t xml:space="preserve">Keep</t>
  </si>
  <si>
    <t xml:space="preserve">Reword</t>
  </si>
  <si>
    <t xml:space="preserve">Cut</t>
  </si>
  <si>
    <t xml:space="preserve">Check</t>
  </si>
  <si>
    <t xml:space="preserve">Never shows</t>
  </si>
  <si>
    <t xml:space="preserve">Explains it poorly (1 or 2)</t>
  </si>
  <si>
    <t xml:space="preserve">Not needed (1 or 2)</t>
  </si>
  <si>
    <t xml:space="preserve">Needed and poorly explained (Needed 4-5, Explains 1-3)</t>
  </si>
  <si>
    <t xml:space="preserve">Average: Explains</t>
  </si>
  <si>
    <t xml:space="preserve">Average: Needed</t>
  </si>
  <si>
    <t xml:space="preserve">On a control that cannot show it (Kind = Never shown)</t>
  </si>
  <si>
    <t xml:space="preserve">Explains (1-5)</t>
  </si>
  <si>
    <t xml:space="preserve">How well the words explain the thing they are on.</t>
  </si>
  <si>
    <t xml:space="preserve">5</t>
  </si>
  <si>
    <t xml:space="preserve">Says exactly what the press or the thing does, in plain words.</t>
  </si>
  <si>
    <t xml:space="preserve">4</t>
  </si>
  <si>
    <t xml:space="preserve">Clear, with a small wobble: an odd word, a missing detail.</t>
  </si>
  <si>
    <t xml:space="preserve">3</t>
  </si>
  <si>
    <t xml:space="preserve">Understood on a second read, or leaves out something the player needs.</t>
  </si>
  <si>
    <t xml:space="preserve">2</t>
  </si>
  <si>
    <t xml:space="preserve">Likely to be misread, or leans on a word the game has not explained.</t>
  </si>
  <si>
    <t xml:space="preserve">1</t>
  </si>
  <si>
    <t xml:space="preserve">Does not explain, or says something untrue.</t>
  </si>
  <si>
    <t xml:space="preserve">Needed (1-5)</t>
  </si>
  <si>
    <t xml:space="preserve">How much the player would lose without it.</t>
  </si>
  <si>
    <t xml:space="preserve">The only place a rule, a number or the reason for a grey button is said.</t>
  </si>
  <si>
    <t xml:space="preserve">Names or explains a control with no words of its own (an icon), or adds a real fact.</t>
  </si>
  <si>
    <t xml:space="preserve">Helpful, but the player would manage without it.</t>
  </si>
  <si>
    <t xml:space="preserve">Mostly repeats the words on the button.</t>
  </si>
  <si>
    <t xml:space="preserve">Repeats the button exactly, or cannot be seen in play.</t>
  </si>
  <si>
    <t xml:space="preserve">Verdict</t>
  </si>
  <si>
    <t xml:space="preserve">Does its job.</t>
  </si>
  <si>
    <t xml:space="preserve">Worth having, and the wording gets in its way. A rewrite is offered.</t>
  </si>
  <si>
    <t xml:space="preserve">Repeats its button. Removing it loses nothing, or it could be spent on a fact instead.</t>
  </si>
  <si>
    <t xml:space="preserve">Out of date, untrue in some case, or not reachable in play. Needs your eye, not only new words.</t>
  </si>
  <si>
    <t xml:space="preserve">Worth reading, but written on a control the tip card cannot reach.</t>
  </si>
  <si>
    <t xml:space="preserve">How to read a row</t>
  </si>
  <si>
    <t xml:space="preserve">Kind</t>
  </si>
  <si>
    <t xml:space="preserve">Tooltip: the cream tip card that comes up after half a second on a control. Tooltip: why a button is grey: the same card, on a dead button. Hover card: the sentence on an orb's, rune's or super orb's card. Never shown: text set as a tooltip that no card can show.</t>
  </si>
  <si>
    <t xml:space="preserve">Text</t>
  </si>
  <si>
    <t xml:space="preserve">As it is in the source. %d, %s and %.1f stand for a number or a name filled in as the game runs, and %% is a percent sign.</t>
  </si>
  <si>
    <t xml:space="preserve">Example, as shown</t>
  </si>
  <si>
    <t xml:space="preserve">The text with made-up numbers and names filled in, to show how it reads. The figures are not the game's.</t>
  </si>
  <si>
    <t xml:space="preserve">Suggested rewrite</t>
  </si>
  <si>
    <t xml:space="preserve">A proposal that keeps the rule as the code has it. Check the facts before using one.</t>
  </si>
  <si>
    <t xml:space="preserve">Ratings for 'Never shown' rows</t>
  </si>
  <si>
    <t xml:space="preserve">Explains rates the words as written. Needed rates what they would be worth if they showed.</t>
  </si>
  <si>
    <t xml:space="preserve">Line</t>
  </si>
  <si>
    <t xml:space="preserve">Where the text sits in the file. Several numbers mean it is written there more than once.</t>
  </si>
  <si>
    <t xml:space="preserve">What is in</t>
  </si>
  <si>
    <t xml:space="preserve">Every tooltip_text set under Scenes/, read off the source and each traced to the control it lands on, and the sentence on each orb, rune and super orb card, since that is the same job done by a different card.</t>
  </si>
  <si>
    <t xml:space="preserve">What is out</t>
  </si>
  <si>
    <t xml:space="preserve">The item card, a skill node's card, an achievement's and a unique's card in the two logs: they are whole descriptions built from an item, not a line of help. Buttons with no tooltip. Reasons the code writes but nothing shows (why an orb or a rune is grey, why a skill point is refused).</t>
  </si>
  <si>
    <t xml:space="preserve">How 'Never shown' was checked</t>
  </si>
  <si>
    <t xml:space="preserve">A scratch scene put each kind of control under a real mouse pointer and asked the tip card's own function what it would say. An item square, a bounty's promised piece and a bought shelf square all came back empty.</t>
  </si>
  <si>
    <t xml:space="preserve">The judgement</t>
  </si>
  <si>
    <t xml:space="preserve">A reviewer's reading, not a measurement. The ratings are for sorting, and the Why column is the argument.</t>
  </si>
  <si>
    <t xml:space="preserve">#</t>
  </si>
  <si>
    <t xml:space="preserve">Area</t>
  </si>
  <si>
    <t xml:space="preserve">Where it shows</t>
  </si>
  <si>
    <t xml:space="preserve">On</t>
  </si>
  <si>
    <t xml:space="preserve">Length</t>
  </si>
  <si>
    <t xml:space="preserve">Why</t>
  </si>
  <si>
    <t xml:space="preserve">File</t>
  </si>
  <si>
    <t xml:space="preserve">Map and main screen</t>
  </si>
  <si>
    <t xml:space="preserve">Corner panel</t>
  </si>
  <si>
    <t xml:space="preserve">Experience bar</t>
  </si>
  <si>
    <t xml:space="preserve">Tooltip</t>
  </si>
  <si>
    <t xml:space="preserve">%s / %s XP</t>
  </si>
  <si>
    <t xml:space="preserve">120 / 450 XP</t>
  </si>
  <si>
    <t xml:space="preserve">The only place the experience held and needed are given as numbers.</t>
  </si>
  <si>
    <t xml:space="preserve">Scenes/UI/character_panel.gd</t>
  </si>
  <si>
    <t xml:space="preserve">290</t>
  </si>
  <si>
    <t xml:space="preserve">Tile panel</t>
  </si>
  <si>
    <t xml:space="preserve">Chart button</t>
  </si>
  <si>
    <t xml:space="preserve">Fight for this tile and what lies behind it</t>
  </si>
  <si>
    <t xml:space="preserve">Chart is the game's own verb and this is the only place it is defined. 'What lies behind it' is the vague part: winning lifts the fog off the tile and the land in sight of it.</t>
  </si>
  <si>
    <t xml:space="preserve">Fight for this tile. Win, and it and the land around it come out of the fog</t>
  </si>
  <si>
    <t xml:space="preserve">Scenes/main_scene.gd</t>
  </si>
  <si>
    <t xml:space="preserve">1904</t>
  </si>
  <si>
    <t xml:space="preserve">Farm button</t>
  </si>
  <si>
    <t xml:space="preserve">Fight here for as long as you like, for the loot</t>
  </si>
  <si>
    <t xml:space="preserve">Says what farming is, that it has no end, and why you would. A model tooltip.</t>
  </si>
  <si>
    <t xml:space="preserve">1905</t>
  </si>
  <si>
    <t xml:space="preserve">Chart and Farm, greyed</t>
  </si>
  <si>
    <t xml:space="preserve">Tooltip: why a button is grey</t>
  </si>
  <si>
    <t xml:space="preserve">Your bag is too heavy to fight with. Sell or discard gear until it holds %d or fewer</t>
  </si>
  <si>
    <t xml:space="preserve">Your bag is too heavy to fight with. Sell or discard gear until it holds 40 or fewer</t>
  </si>
  <si>
    <t xml:space="preserve">The only place the reason and the limit are said, and it says how to fix it. Two wobbles: nothing else in the game weighs anything (elsewhere the bag is 'full'), and 'or fewer' has no noun.</t>
  </si>
  <si>
    <t xml:space="preserve">Your bag is over its limit. Sell or discard gear until it holds %d items or fewer</t>
  </si>
  <si>
    <t xml:space="preserve">1908</t>
  </si>
  <si>
    <t xml:space="preserve">Tile panel, on the cave</t>
  </si>
  <si>
    <t xml:space="preserve">Enter cave button</t>
  </si>
  <si>
    <t xml:space="preserve">Go down to depth %d. Kill Gollux to go deeper: each depth won is a skull for your curses</t>
  </si>
  <si>
    <t xml:space="preserve">Go down to depth 3. Kill Gollux to go deeper: each depth won is a skull for your curses</t>
  </si>
  <si>
    <t xml:space="preserve">Carries the whole rule of the cave, and nothing else on the panel does. The last part is hard: 'a skull for your curses' only means something to a player who has already seen the curse table.</t>
  </si>
  <si>
    <t xml:space="preserve">Go down to depth %d. Kill Gollux to win the depth. Each depth won gives one more skull to spend on curses</t>
  </si>
  <si>
    <t xml:space="preserve">2369</t>
  </si>
  <si>
    <t xml:space="preserve">Ice wall's tile panel: Unlocks</t>
  </si>
  <si>
    <t xml:space="preserve">An orb's row (walls 1 and 2)</t>
  </si>
  <si>
    <t xml:space="preserve">(the orb's own description, as on its card)</t>
  </si>
  <si>
    <t xml:space="preserve">The right thing to show: the wall promises an orb and the row says what it does. As clear as the orb's sentence is, see the Orb card rows.</t>
  </si>
  <si>
    <t xml:space="preserve">Scenes/Items/wall_unlocks.gd</t>
  </si>
  <si>
    <t xml:space="preserve">59</t>
  </si>
  <si>
    <t xml:space="preserve">Gollux row (wall 3)</t>
  </si>
  <si>
    <t xml:space="preserve">His cave appears in every world</t>
  </si>
  <si>
    <t xml:space="preserve">The first time the player reads the name. It says where he is and not what he is, or why his cave is worth finding.</t>
  </si>
  <si>
    <t xml:space="preserve">A boss in a cave of his own. The cave is in every world from now on</t>
  </si>
  <si>
    <t xml:space="preserve">28</t>
  </si>
  <si>
    <t xml:space="preserve">Runes row (wall 3)</t>
  </si>
  <si>
    <t xml:space="preserve">Dropped in Gollux's cave, they give a charted tile modifiers</t>
  </si>
  <si>
    <t xml:space="preserve">Says where runes come from. 'Give a tile modifiers' does not say whether that is good for the player.</t>
  </si>
  <si>
    <t xml:space="preserve">Dropped in Gollux's cave. Spend one on a tile you have charted to add or change its modifiers</t>
  </si>
  <si>
    <t xml:space="preserve">30</t>
  </si>
  <si>
    <t xml:space="preserve">Distant charting row (wall 4)</t>
  </si>
  <si>
    <t xml:space="preserve">Chart any tile you can see, fighting for every tile on the way</t>
  </si>
  <si>
    <t xml:space="preserve">The whole rule in one line, cost included.</t>
  </si>
  <si>
    <t xml:space="preserve">32</t>
  </si>
  <si>
    <t xml:space="preserve">Item filter row (wall 6)</t>
  </si>
  <si>
    <t xml:space="preserve">Leave behind the loot you do not want</t>
  </si>
  <si>
    <t xml:space="preserve">Clear about what it does. It does not say where the filter is, and nothing points to Settings.</t>
  </si>
  <si>
    <t xml:space="preserve">Leave behind the loot you do not want. Set it in Settings</t>
  </si>
  <si>
    <t xml:space="preserve">34</t>
  </si>
  <si>
    <t xml:space="preserve">Abilities row (wall 7)</t>
  </si>
  <si>
    <t xml:space="preserve">Skill nodes that put a button in the fight</t>
  </si>
  <si>
    <t xml:space="preserve">'Put a button in the fight' describes the interface, not what the player gains. Also check: the abilities are not built yet, so the row promises something the game does not have.</t>
  </si>
  <si>
    <t xml:space="preserve">Skill nodes that give you an ability to use during a fight</t>
  </si>
  <si>
    <t xml:space="preserve">36</t>
  </si>
  <si>
    <t xml:space="preserve">Skill branch row (walls 3, 5, 8 and on)</t>
  </si>
  <si>
    <t xml:space="preserve">The skill tree's root takes %d more node%s</t>
  </si>
  <si>
    <t xml:space="preserve">The skill tree's root takes 1 more node</t>
  </si>
  <si>
    <t xml:space="preserve">The row's name ('+1 skill branch') and the tooltip use two words, branch and node, for the same gain. 'The root takes' reads oddly.</t>
  </si>
  <si>
    <t xml:space="preserve">%d more skill node%s can be joined to the root of your skill tree</t>
  </si>
  <si>
    <t xml:space="preserve">66</t>
  </si>
  <si>
    <t xml:space="preserve">Fights</t>
  </si>
  <si>
    <t xml:space="preserve">Fight screen, top right, farming</t>
  </si>
  <si>
    <t xml:space="preserve">Flag button (icon only)</t>
  </si>
  <si>
    <t xml:space="preserve">End the run and keep everything it turned up</t>
  </si>
  <si>
    <t xml:space="preserve">Icon only, and the press ends the fight. It says so and takes away the fear of losing the loot.</t>
  </si>
  <si>
    <t xml:space="preserve">Scenes/Combat/combat_scene.gd</t>
  </si>
  <si>
    <t xml:space="preserve">903</t>
  </si>
  <si>
    <t xml:space="preserve">Fight screen, top right, charting</t>
  </si>
  <si>
    <t xml:space="preserve">Give up the fight and keep what it already turned up</t>
  </si>
  <si>
    <t xml:space="preserve">Says it is a surrender and that the loot is safe.</t>
  </si>
  <si>
    <t xml:space="preserve">905</t>
  </si>
  <si>
    <t xml:space="preserve">Bag</t>
  </si>
  <si>
    <t xml:space="preserve">A level's heading</t>
  </si>
  <si>
    <t xml:space="preserve">Struck-through chest (icon only, toggle)</t>
  </si>
  <si>
    <t xml:space="preserve">Stop collecting level %d loot</t>
  </si>
  <si>
    <t xml:space="preserve">Stop collecting level 3 loot</t>
  </si>
  <si>
    <t xml:space="preserve">An icon with a lasting effect: every later drop of that level is thrown away. 'Stop collecting' is gentle for that, and 'level 3 loot' leaves 'item level' to be guessed.</t>
  </si>
  <si>
    <t xml:space="preserve">Leave level %d items where they fall from now on</t>
  </si>
  <si>
    <t xml:space="preserve">Scenes/UI/bag_page.gd</t>
  </si>
  <si>
    <t xml:space="preserve">609</t>
  </si>
  <si>
    <t xml:space="preserve">The same toggle, held down</t>
  </si>
  <si>
    <t xml:space="preserve">Continue collecting level %d loot</t>
  </si>
  <si>
    <t xml:space="preserve">Continue collecting level 3 loot</t>
  </si>
  <si>
    <t xml:space="preserve">Clear as the way back. 'Continue' suggests it was only paused.</t>
  </si>
  <si>
    <t xml:space="preserve">Pick up level %d items again</t>
  </si>
  <si>
    <t xml:space="preserve">A level's heading, in a town that buys gear</t>
  </si>
  <si>
    <t xml:space="preserve">Coins (icon only)</t>
  </si>
  <si>
    <t xml:space="preserve">Sell %d level %d %s for %s gold</t>
  </si>
  <si>
    <t xml:space="preserve">Sell 7 level 3 items for 1.2K gold</t>
  </si>
  <si>
    <t xml:space="preserve">The count and the sum, before the press. Nothing else gives them.</t>
  </si>
  <si>
    <t xml:space="preserve">629</t>
  </si>
  <si>
    <t xml:space="preserve">A level's heading, away from town</t>
  </si>
  <si>
    <t xml:space="preserve">Bin (icon only)</t>
  </si>
  <si>
    <t xml:space="preserve">Discard %d level %d %s</t>
  </si>
  <si>
    <t xml:space="preserve">Discard 7 level 3 items</t>
  </si>
  <si>
    <t xml:space="preserve">Says how many pieces the bin would take.</t>
  </si>
  <si>
    <t xml:space="preserve">630</t>
  </si>
  <si>
    <t xml:space="preserve">An open piece</t>
  </si>
  <si>
    <t xml:space="preserve">Equip button, when something comes off</t>
  </si>
  <si>
    <t xml:space="preserve">, putting %s back in the bag</t>
  </si>
  <si>
    <t xml:space="preserve">Wear this in the weapon slot, putting Rusty Sword, Oak Shield back in the bag</t>
  </si>
  <si>
    <t xml:space="preserve">The only warning that a two-hander takes the offhand off as well.</t>
  </si>
  <si>
    <t xml:space="preserve">1090</t>
  </si>
  <si>
    <t xml:space="preserve">Equip button, greyed</t>
  </si>
  <si>
    <t xml:space="preserve">Needs %d %s</t>
  </si>
  <si>
    <t xml:space="preserve">Needs 12 Strength</t>
  </si>
  <si>
    <t xml:space="preserve">Short and exact.</t>
  </si>
  <si>
    <t xml:space="preserve">Scenes/Items/inventory.gd</t>
  </si>
  <si>
    <t xml:space="preserve">517</t>
  </si>
  <si>
    <t xml:space="preserve">The bag is full</t>
  </si>
  <si>
    <t xml:space="preserve">Puzzling on Equip: why would putting something on need room? The room is for what comes off.</t>
  </si>
  <si>
    <t xml:space="preserve">No room in the bag for what comes off</t>
  </si>
  <si>
    <t xml:space="preserve">508</t>
  </si>
  <si>
    <t xml:space="preserve">Heirlooms</t>
  </si>
  <si>
    <t xml:space="preserve">An open heirloom</t>
  </si>
  <si>
    <t xml:space="preserve">Lone Heir: only one heirloom may be worn</t>
  </si>
  <si>
    <t xml:space="preserve">Names the curse and gives its rule.</t>
  </si>
  <si>
    <t xml:space="preserve">510</t>
  </si>
  <si>
    <t xml:space="preserve">An open ring</t>
  </si>
  <si>
    <t xml:space="preserve">Swap button (icon only)</t>
  </si>
  <si>
    <t xml:space="preserve">Equip over the other ring instead</t>
  </si>
  <si>
    <t xml:space="preserve">An icon with no word, and a press that does not equip: it changes which finger Equip will use.</t>
  </si>
  <si>
    <t xml:space="preserve">Switch Equip to the other ring slot</t>
  </si>
  <si>
    <t xml:space="preserve">1098</t>
  </si>
  <si>
    <t xml:space="preserve">An open piece, in a town that buys gear</t>
  </si>
  <si>
    <t xml:space="preserve">Sell button, greyed</t>
  </si>
  <si>
    <t xml:space="preserve">Never sell is on</t>
  </si>
  <si>
    <t xml:space="preserve">Names the exact switch to turn off, which sits on the same row.</t>
  </si>
  <si>
    <t xml:space="preserve">1108</t>
  </si>
  <si>
    <t xml:space="preserve">Never sell toggle, off</t>
  </si>
  <si>
    <t xml:space="preserve">Sell all and the bin pass this by</t>
  </si>
  <si>
    <t xml:space="preserve">The only explanation of the padlock, and the hardest tooltip in the bag. 'Sell all' and 'the bin' are icons the player has never seen named, and 'pass this by' has to be decoded. It also leaves out that the piece's own Sell button goes grey.</t>
  </si>
  <si>
    <t xml:space="preserve">Keep this when a whole level is sold or discarded. It cannot be sold on its own either</t>
  </si>
  <si>
    <t xml:space="preserve">1132</t>
  </si>
  <si>
    <t xml:space="preserve">Never sell toggle, on</t>
  </si>
  <si>
    <t xml:space="preserve">Let Sell all and the bin take this again</t>
  </si>
  <si>
    <t xml:space="preserve">The same problem from the other side.</t>
  </si>
  <si>
    <t xml:space="preserve">Allow this to be sold or discarded again</t>
  </si>
  <si>
    <t xml:space="preserve">1131</t>
  </si>
  <si>
    <t xml:space="preserve">An open worn piece</t>
  </si>
  <si>
    <t xml:space="preserve">Unequip button, greyed</t>
  </si>
  <si>
    <t xml:space="preserve">The reason, and it is obvious what to do about it.</t>
  </si>
  <si>
    <t xml:space="preserve">1229</t>
  </si>
  <si>
    <t xml:space="preserve">Transcension</t>
  </si>
  <si>
    <t xml:space="preserve">The bag, choosing an heirloom</t>
  </si>
  <si>
    <t xml:space="preserve">Make heirloom button, greyed</t>
  </si>
  <si>
    <t xml:space="preserve">Open the item you would keep</t>
  </si>
  <si>
    <t xml:space="preserve">Tells the player the step they have missed.</t>
  </si>
  <si>
    <t xml:space="preserve">1199</t>
  </si>
  <si>
    <t xml:space="preserve">This item is broken</t>
  </si>
  <si>
    <t xml:space="preserve">States a fact and leaves the rule to be guessed.</t>
  </si>
  <si>
    <t xml:space="preserve">A broken item cannot be made an heirloom</t>
  </si>
  <si>
    <t xml:space="preserve">1200</t>
  </si>
  <si>
    <t xml:space="preserve">Orbs and runes</t>
  </si>
  <si>
    <t xml:space="preserve">Orb card (bag tray, loot list, vendor)</t>
  </si>
  <si>
    <t xml:space="preserve">Orb of Transmutation</t>
  </si>
  <si>
    <t xml:space="preserve">Hover card</t>
  </si>
  <si>
    <t xml:space="preserve">Makes an item uncommon with fresh modifiers, or rerolls an uncommon one's.</t>
  </si>
  <si>
    <t xml:space="preserve">The only explanation of the orb. It hides the catch: used on a rare or epic piece it makes that uncommon too. 'An uncommon one's' ends on a possessive with nothing after it, and 'rerolls' is never explained.</t>
  </si>
  <si>
    <t xml:space="preserve">Makes any item uncommon and gives it new modifiers. A rarer item drops to uncommon</t>
  </si>
  <si>
    <t xml:space="preserve">Scenes/Items/orb_table.gd</t>
  </si>
  <si>
    <t xml:space="preserve">62</t>
  </si>
  <si>
    <t xml:space="preserve">Orb of Augmentation</t>
  </si>
  <si>
    <t xml:space="preserve">Adds one more modifier, at any rarity.</t>
  </si>
  <si>
    <t xml:space="preserve">'At any rarity' is untrue for a common item, which the orb refuses, and it is unclear whether it describes the item or the modifier. It also does not say the item needs room.</t>
  </si>
  <si>
    <t xml:space="preserve">Adds one modifier to an item that has room for it. A common item has none</t>
  </si>
  <si>
    <t xml:space="preserve">Orb of Alchemy</t>
  </si>
  <si>
    <t xml:space="preserve">Makes an item rare with fresh modifiers, or rerolls a rare one's.</t>
  </si>
  <si>
    <t xml:space="preserve">As Transmutation: an epic piece becomes rare, and the card does not warn of it.</t>
  </si>
  <si>
    <t xml:space="preserve">Makes any item rare and gives it new modifiers. An epic item drops to rare</t>
  </si>
  <si>
    <t xml:space="preserve">70</t>
  </si>
  <si>
    <t xml:space="preserve">Orb of Divinity</t>
  </si>
  <si>
    <t xml:space="preserve">Rerolls the value of every modifier, keeping the modifiers and their tiers.</t>
  </si>
  <si>
    <t xml:space="preserve">Exact, and says what is safe. It leans on 'tiers' and 'rerolls', which the game never explains.</t>
  </si>
  <si>
    <t xml:space="preserve">74</t>
  </si>
  <si>
    <t xml:space="preserve">Orb of Chaos</t>
  </si>
  <si>
    <t xml:space="preserve">Rerolls the tier and value of every modifier, keeping the modifiers themselves.</t>
  </si>
  <si>
    <t xml:space="preserve">Reads well beside Divinity: the two cards differ by exactly the word that matters.</t>
  </si>
  <si>
    <t xml:space="preserve">78</t>
  </si>
  <si>
    <t xml:space="preserve">Orb of Exaltation</t>
  </si>
  <si>
    <t xml:space="preserve">Makes an item epic with fresh modifiers, or rerolls an epic one's.</t>
  </si>
  <si>
    <t xml:space="preserve">No hidden catch here, since epic is the top. Only the dangling 'an epic one's'.</t>
  </si>
  <si>
    <t xml:space="preserve">Makes any item epic and gives it new modifiers</t>
  </si>
  <si>
    <t xml:space="preserve">82</t>
  </si>
  <si>
    <t xml:space="preserve">Rune card (bag tray)</t>
  </si>
  <si>
    <t xml:space="preserve">Rune of Shifting</t>
  </si>
  <si>
    <t xml:space="preserve">Rerolls the tiers of the modifiers runes gave a tile.</t>
  </si>
  <si>
    <t xml:space="preserve">'The modifiers runes gave a tile' has to be read twice to find its verb. No rune card says how long its work lasts, or that the tile must be charted.</t>
  </si>
  <si>
    <t xml:space="preserve">Rolls new tiers for the modifiers that runes have added to a tile</t>
  </si>
  <si>
    <t xml:space="preserve">Scenes/Items/rune_table.gd</t>
  </si>
  <si>
    <t xml:space="preserve">22</t>
  </si>
  <si>
    <t xml:space="preserve">Rune of Upheaval</t>
  </si>
  <si>
    <t xml:space="preserve">Rerolls the modifiers runes gave a tile into different ones.</t>
  </si>
  <si>
    <t xml:space="preserve">The same knot as Shifting.</t>
  </si>
  <si>
    <t xml:space="preserve">Swaps the modifiers that runes have added to a tile for different ones</t>
  </si>
  <si>
    <t xml:space="preserve">24</t>
  </si>
  <si>
    <t xml:space="preserve">Rune of Unrest</t>
  </si>
  <si>
    <t xml:space="preserve">Gives a tile a new modifier.</t>
  </si>
  <si>
    <t xml:space="preserve">Short and true. No rune card says how long its work lasts, or that the tile must be charted.</t>
  </si>
  <si>
    <t xml:space="preserve">26</t>
  </si>
  <si>
    <t xml:space="preserve">Rune of Stillness</t>
  </si>
  <si>
    <t xml:space="preserve">Takes away a modifier a rune gave a tile.</t>
  </si>
  <si>
    <t xml:space="preserve">Clear once parsed. It does not say which modifier goes when there are several.</t>
  </si>
  <si>
    <t xml:space="preserve">Removes one modifier that a rune added to a tile</t>
  </si>
  <si>
    <t xml:space="preserve">Rune of Depth</t>
  </si>
  <si>
    <t xml:space="preserve">Makes a tile's enemies a level higher.</t>
  </si>
  <si>
    <t xml:space="preserve">Nothing to add.</t>
  </si>
  <si>
    <t xml:space="preserve">Rune of Ascent</t>
  </si>
  <si>
    <t xml:space="preserve">Makes a tile's enemies ascended: what they drop may be ascended.</t>
  </si>
  <si>
    <t xml:space="preserve">Explains 'ascended' with 'ascended'. The player needs the + to connect it to gear.</t>
  </si>
  <si>
    <t xml:space="preserve">Ascends a tile's enemies: their drops can come ascended (+1)</t>
  </si>
  <si>
    <t xml:space="preserve">Super orb card (transcension)</t>
  </si>
  <si>
    <t xml:space="preserve">Orb of Replacement</t>
  </si>
  <si>
    <t xml:space="preserve">Replaces the modifier you choose with another, freshly rolled.</t>
  </si>
  <si>
    <t xml:space="preserve">Says you choose, and what you get.</t>
  </si>
  <si>
    <t xml:space="preserve">Scenes/Items/super_orb_table.gd</t>
  </si>
  <si>
    <t xml:space="preserve">33</t>
  </si>
  <si>
    <t xml:space="preserve">Orb of Ascension</t>
  </si>
  <si>
    <t xml:space="preserve">Takes the item toward its next +1: +1 takes one, +2 two more, +3 three more, and so on. Each + rolls every modifier on it as if the item were %d levels higher, for good.</t>
  </si>
  <si>
    <t xml:space="preserve">The right facts in the hardest order. '+1 takes one' reads as arithmetic, and the reader has to work out that the ones and twos are orbs.</t>
  </si>
  <si>
    <t xml:space="preserve">Moves the item one step toward its next +. Reaching +1 takes 1 orb, +2 takes 2 more, +3 takes 3 more. Each + makes every modifier roll as if the item were %d levels higher, for good</t>
  </si>
  <si>
    <t xml:space="preserve">38</t>
  </si>
  <si>
    <t xml:space="preserve">Orb of Perfection</t>
  </si>
  <si>
    <t xml:space="preserve">Puts the modifier you choose at the top of its range, and it stays there whatever is done to the item afterwards.</t>
  </si>
  <si>
    <t xml:space="preserve">Says what it does and answers the next question before it is asked.</t>
  </si>
  <si>
    <t xml:space="preserve">43</t>
  </si>
  <si>
    <t xml:space="preserve">Orb of Expansion</t>
  </si>
  <si>
    <t xml:space="preserve">Adds one modifier more than the item's rarity allows. Once per item.</t>
  </si>
  <si>
    <t xml:space="preserve">Clear, with its limit.</t>
  </si>
  <si>
    <t xml:space="preserve">48</t>
  </si>
  <si>
    <t xml:space="preserve">Orb of Mending</t>
  </si>
  <si>
    <t xml:space="preserve">Makes a broken item whole again.</t>
  </si>
  <si>
    <t xml:space="preserve">53</t>
  </si>
  <si>
    <t xml:space="preserve">Orb of Binding</t>
  </si>
  <si>
    <t xml:space="preserve">Locks the modifier you choose so that no orb can move it, beside whatever a smith has locked. Once per item.</t>
  </si>
  <si>
    <t xml:space="preserve">'Move' means change here, and 'beside whatever a smith has locked' has to be read twice.</t>
  </si>
  <si>
    <t xml:space="preserve">Locks the modifier you choose so that no orb can change it, on top of a smith's lock. Once per item</t>
  </si>
  <si>
    <t xml:space="preserve">58</t>
  </si>
  <si>
    <t xml:space="preserve">Bounties</t>
  </si>
  <si>
    <t xml:space="preserve">Bounty journal, a finished bounty</t>
  </si>
  <si>
    <t xml:space="preserve">'Claim at &lt;town&gt;' button</t>
  </si>
  <si>
    <t xml:space="preserve">Show %s on the map</t>
  </si>
  <si>
    <t xml:space="preserve">Show Oakford on the map</t>
  </si>
  <si>
    <t xml:space="preserve">The button's words promise a claim and the press only shows the town. The tooltip is what sets that straight, so the button itself may want the fix.</t>
  </si>
  <si>
    <t xml:space="preserve">Scenes/UI/bounty_list.gd</t>
  </si>
  <si>
    <t xml:space="preserve">113</t>
  </si>
  <si>
    <t xml:space="preserve">Bounty journal</t>
  </si>
  <si>
    <t xml:space="preserve">Give up button, after one press ('Sure?')</t>
  </si>
  <si>
    <t xml:space="preserve">Press again to give it up and lose its progress</t>
  </si>
  <si>
    <t xml:space="preserve">The only place the loss is said.</t>
  </si>
  <si>
    <t xml:space="preserve">397</t>
  </si>
  <si>
    <t xml:space="preserve">Towns</t>
  </si>
  <si>
    <t xml:space="preserve">Merchants</t>
  </si>
  <si>
    <t xml:space="preserve">Restock button</t>
  </si>
  <si>
    <t xml:space="preserve">Clear this shelf for new stock. Each time costs twice the last</t>
  </si>
  <si>
    <t xml:space="preserve">Says what is lost, what is gained, and the doubling, which is said nowhere else.</t>
  </si>
  <si>
    <t xml:space="preserve">Scenes/UI/town_page.gd</t>
  </si>
  <si>
    <t xml:space="preserve">430</t>
  </si>
  <si>
    <t xml:space="preserve">Merchants and bounty board</t>
  </si>
  <si>
    <t xml:space="preserve">Buy, Claim or Take, greyed</t>
  </si>
  <si>
    <t xml:space="preserve">1598</t>
  </si>
  <si>
    <t xml:space="preserve">Bounty board</t>
  </si>
  <si>
    <t xml:space="preserve">The pips at the heading's end</t>
  </si>
  <si>
    <t xml:space="preserve">%d of %d handed in. Clear the board for a reward</t>
  </si>
  <si>
    <t xml:space="preserve">1 of 3 handed in. Clear the board for a reward</t>
  </si>
  <si>
    <t xml:space="preserve">Explains the pips and the gift at their end, which nothing else does.</t>
  </si>
  <si>
    <t xml:space="preserve">678</t>
  </si>
  <si>
    <t xml:space="preserve">Accept button, greyed</t>
  </si>
  <si>
    <t xml:space="preserve">Hand in the bounty you have taken first</t>
  </si>
  <si>
    <t xml:space="preserve">The only statement of the one-bounty rule. It can be read as 'the bounty you took first', and it leaves out that giving up also frees the board.</t>
  </si>
  <si>
    <t xml:space="preserve">You already have a bounty. Hand it in or give it up first</t>
  </si>
  <si>
    <t xml:space="preserve">708</t>
  </si>
  <si>
    <t xml:space="preserve">Blacksmith, a piece held up</t>
  </si>
  <si>
    <t xml:space="preserve">Upgrade or Lock, greyed</t>
  </si>
  <si>
    <t xml:space="preserve">It's broken. Not my job to mend it.</t>
  </si>
  <si>
    <t xml:space="preserve">In his voice, and it hints that mending exists somewhere else.</t>
  </si>
  <si>
    <t xml:space="preserve">Scenes/Town/blacksmith.gd</t>
  </si>
  <si>
    <t xml:space="preserve">Upgrade, greyed (an heirloom)</t>
  </si>
  <si>
    <t xml:space="preserve">It climbs to level %d on its own</t>
  </si>
  <si>
    <t xml:space="preserve">It climbs to level 12 on its own</t>
  </si>
  <si>
    <t xml:space="preserve">True, but it does not say how, or that it is because the piece is an heirloom.</t>
  </si>
  <si>
    <t xml:space="preserve">An heirloom: it rises to level %d by itself as you chart land</t>
  </si>
  <si>
    <t xml:space="preserve">Upgrade, greyed</t>
  </si>
  <si>
    <t xml:space="preserve">Level %d is the most here</t>
  </si>
  <si>
    <t xml:space="preserve">Level 9 is the most here</t>
  </si>
  <si>
    <t xml:space="preserve">'Here' is doing the work: the limit is this town's smith, and a deeper one goes further.</t>
  </si>
  <si>
    <t xml:space="preserve">This smith cannot go past level %d. One deeper in can</t>
  </si>
  <si>
    <t xml:space="preserve">54</t>
  </si>
  <si>
    <t xml:space="preserve">Lock button</t>
  </si>
  <si>
    <t xml:space="preserve">Pin one of its modifiers for good, for %s gold</t>
  </si>
  <si>
    <t xml:space="preserve">Pin one of its modifiers for good, for 5K gold</t>
  </si>
  <si>
    <t xml:space="preserve">Leaves out the fact that matters most: the smith picks the modifier at random. It also says 'pin' under a button that says Lock, and not what a pinned modifier is safe from.</t>
  </si>
  <si>
    <t xml:space="preserve">Locks one of its modifiers, picked at random, so that no orb can change it. For good</t>
  </si>
  <si>
    <t xml:space="preserve">902</t>
  </si>
  <si>
    <t xml:space="preserve">Lock, greyed</t>
  </si>
  <si>
    <t xml:space="preserve">One lock to an item</t>
  </si>
  <si>
    <t xml:space="preserve">A rule stated as a proverb.</t>
  </si>
  <si>
    <t xml:space="preserve">This item already has a locked modifier</t>
  </si>
  <si>
    <t xml:space="preserve">83</t>
  </si>
  <si>
    <t xml:space="preserve">Nothing here to lock</t>
  </si>
  <si>
    <t xml:space="preserve">Clear enough. Naming the thing missing is clearer.</t>
  </si>
  <si>
    <t xml:space="preserve">This item has no modifiers to lock</t>
  </si>
  <si>
    <t xml:space="preserve">84</t>
  </si>
  <si>
    <t xml:space="preserve">Fortuneteller</t>
  </si>
  <si>
    <t xml:space="preserve">A spell's square (icon and price, no name): Roads</t>
  </si>
  <si>
    <t xml:space="preserve">Brings every settlement between the ice walls around you, and the land beside it, out of the fog</t>
  </si>
  <si>
    <t xml:space="preserve">The square has no words at all, so this carries everything. 'Between the ice walls around you' is hard to picture, and the verb comes a long way before 'out of the fog'.</t>
  </si>
  <si>
    <t xml:space="preserve">Reveals every settlement inside this ring of ice walls, and the tiles next to each</t>
  </si>
  <si>
    <t xml:space="preserve">135</t>
  </si>
  <si>
    <t xml:space="preserve">A spell's square (icon and price, no name): Treasure</t>
  </si>
  <si>
    <t xml:space="preserve">Puts a star over the nearest chest you have not seen. It stays until that chest is opened</t>
  </si>
  <si>
    <t xml:space="preserve">What you get and how long it lasts.</t>
  </si>
  <si>
    <t xml:space="preserve">136</t>
  </si>
  <si>
    <t xml:space="preserve">A spell's square (icon and price, no name): Appraise</t>
  </si>
  <si>
    <t xml:space="preserve">Lists every modifier the open item can roll, the range it rolls in at the item's level, and how often it comes up</t>
  </si>
  <si>
    <t xml:space="preserve">Complete. 'The open item' assumes the player knows a piece has to be open in the bag.</t>
  </si>
  <si>
    <t xml:space="preserve">137</t>
  </si>
  <si>
    <t xml:space="preserve">A spell's square (icon and price, no name): Scour</t>
  </si>
  <si>
    <t xml:space="preserve">Brings a tile and the two rings of land around it, nineteen tiles, out of the fog</t>
  </si>
  <si>
    <t xml:space="preserve">Does not say the player picks the tile, which is the point of the spell.</t>
  </si>
  <si>
    <t xml:space="preserve">Reveals a tile you choose and the two rings of land around it: nineteen tiles</t>
  </si>
  <si>
    <t xml:space="preserve">138</t>
  </si>
  <si>
    <t xml:space="preserve">A spell's square (icon and price, no name): Return</t>
  </si>
  <si>
    <t xml:space="preserve">Moves you to a settlement or the Gollux cave you have already charted</t>
  </si>
  <si>
    <t xml:space="preserve">Clear. It names the Gollux cave to players who have not met Gollux yet.</t>
  </si>
  <si>
    <t xml:space="preserve">139</t>
  </si>
  <si>
    <t xml:space="preserve">A spell's square (icon and price, no name): Transcend</t>
  </si>
  <si>
    <t xml:space="preserve">Ends this world and starts a new one, worth far more</t>
  </si>
  <si>
    <t xml:space="preserve">The biggest press in the game. 'Worth far more' does not say more of what, and nothing here says what is kept. Her question after the press does say what is lost.</t>
  </si>
  <si>
    <t xml:space="preserve">Ends this world and starts a new one. You keep one item as an heirloom</t>
  </si>
  <si>
    <t xml:space="preserve">140</t>
  </si>
  <si>
    <t xml:space="preserve">A spell's square (icon and price, no name): Banish</t>
  </si>
  <si>
    <t xml:space="preserve">Keeps a unique you choose from dropping in this world</t>
  </si>
  <si>
    <t xml:space="preserve">For a moment 'Keeps a unique' reads as the opposite of what the spell does.</t>
  </si>
  <si>
    <t xml:space="preserve">Stops a unique you choose from dropping in this world</t>
  </si>
  <si>
    <t xml:space="preserve">142</t>
  </si>
  <si>
    <t xml:space="preserve">A great spell's square, greyed</t>
  </si>
  <si>
    <t xml:space="preserve">That spell is spent here</t>
  </si>
  <si>
    <t xml:space="preserve">Says it is gone, not that it comes back in another town.</t>
  </si>
  <si>
    <t xml:space="preserve">Already cast in this town. Another town will sell it</t>
  </si>
  <si>
    <t xml:space="preserve">1442</t>
  </si>
  <si>
    <t xml:space="preserve">Roads, greyed</t>
  </si>
  <si>
    <t xml:space="preserve">Already bought here</t>
  </si>
  <si>
    <t xml:space="preserve">The same rule as the row above in different words.</t>
  </si>
  <si>
    <t xml:space="preserve">1444</t>
  </si>
  <si>
    <t xml:space="preserve">Treasure, greyed</t>
  </si>
  <si>
    <t xml:space="preserve">The star is already out</t>
  </si>
  <si>
    <t xml:space="preserve">'Out' can mean showing or gone.</t>
  </si>
  <si>
    <t xml:space="preserve">A chest is already marked. Open it first</t>
  </si>
  <si>
    <t xml:space="preserve">1449</t>
  </si>
  <si>
    <t xml:space="preserve">She sees no hidden chest</t>
  </si>
  <si>
    <t xml:space="preserve">In her voice and clear.</t>
  </si>
  <si>
    <t xml:space="preserve">1451</t>
  </si>
  <si>
    <t xml:space="preserve">Appraise, greyed</t>
  </si>
  <si>
    <t xml:space="preserve">Open an item in your bag</t>
  </si>
  <si>
    <t xml:space="preserve">Scenes/Town/fortune_teller.gd</t>
  </si>
  <si>
    <t xml:space="preserve">101</t>
  </si>
  <si>
    <t xml:space="preserve">Appraise, greyed (a unique is open)</t>
  </si>
  <si>
    <t xml:space="preserve">A unique's lines are already written</t>
  </si>
  <si>
    <t xml:space="preserve">Poetic, and the player is left to work out that it means there is nothing to appraise.</t>
  </si>
  <si>
    <t xml:space="preserve">A unique's modifiers are fixed. There is nothing to appraise</t>
  </si>
  <si>
    <t xml:space="preserve">86</t>
  </si>
  <si>
    <t xml:space="preserve">Return, greyed</t>
  </si>
  <si>
    <t xml:space="preserve">You have found nowhere else to stand</t>
  </si>
  <si>
    <t xml:space="preserve">Sounds like a remark, not a reason.</t>
  </si>
  <si>
    <t xml:space="preserve">You have charted no other settlement to go to</t>
  </si>
  <si>
    <t xml:space="preserve">1458</t>
  </si>
  <si>
    <t xml:space="preserve">Fortuneteller: Banish screen</t>
  </si>
  <si>
    <t xml:space="preserve">Banish button, greyed</t>
  </si>
  <si>
    <t xml:space="preserve">You need at least %d uniques in the drop pool</t>
  </si>
  <si>
    <t xml:space="preserve">You need at least 5 uniques in the drop pool</t>
  </si>
  <si>
    <t xml:space="preserve">'Drop pool' is a developer's term.</t>
  </si>
  <si>
    <t xml:space="preserve">She always leaves at least %d uniques able to drop</t>
  </si>
  <si>
    <t xml:space="preserve">170</t>
  </si>
  <si>
    <t xml:space="preserve">Character page</t>
  </si>
  <si>
    <t xml:space="preserve">Attributes</t>
  </si>
  <si>
    <t xml:space="preserve">Strength, Dexterity or Intelligence chip</t>
  </si>
  <si>
    <t xml:space="preserve">Each point of %s adds %.1f%% more %s
Yours add +%.1f%%</t>
  </si>
  <si>
    <t xml:space="preserve">Each point of Strength adds 0.5% more Damage / Yours add +12.0%</t>
  </si>
  <si>
    <t xml:space="preserve">The only place the game says what an attribute does, with the player's own total under it. A model tooltip.</t>
  </si>
  <si>
    <t xml:space="preserve">Scenes/UI/character_page.gd</t>
  </si>
  <si>
    <t xml:space="preserve">305</t>
  </si>
  <si>
    <t xml:space="preserve">Stat tables (a row's tooltip is where its number comes from)</t>
  </si>
  <si>
    <t xml:space="preserve">Crit Chance and the three Reduction rows</t>
  </si>
  <si>
    <t xml:space="preserve">At most %s%%</t>
  </si>
  <si>
    <t xml:space="preserve">At most 75%</t>
  </si>
  <si>
    <t xml:space="preserve">The only sign that the number has hit a cap and more of the stat is wasted.</t>
  </si>
  <si>
    <t xml:space="preserve">470, 479</t>
  </si>
  <si>
    <t xml:space="preserve">Attack Speed row</t>
  </si>
  <si>
    <t xml:space="preserve">At most %.1f/s</t>
  </si>
  <si>
    <t xml:space="preserve">At most 5.0/s</t>
  </si>
  <si>
    <t xml:space="preserve">A cap, said where it bites.</t>
  </si>
  <si>
    <t xml:space="preserve">473</t>
  </si>
  <si>
    <t xml:space="preserve">Armour row</t>
  </si>
  <si>
    <t xml:space="preserve">%d%% off every blow</t>
  </si>
  <si>
    <t xml:space="preserve">18% off every blow</t>
  </si>
  <si>
    <t xml:space="preserve">Turns a rating into what it does. The best kind of stat tooltip.</t>
  </si>
  <si>
    <t xml:space="preserve">481</t>
  </si>
  <si>
    <t xml:space="preserve">Dodge row</t>
  </si>
  <si>
    <t xml:space="preserve">%d%% of blows dodged</t>
  </si>
  <si>
    <t xml:space="preserve">12% of blows dodged</t>
  </si>
  <si>
    <t xml:space="preserve">Turns a rating into what it does.</t>
  </si>
  <si>
    <t xml:space="preserve">483</t>
  </si>
  <si>
    <t xml:space="preserve">Fight Clock row</t>
  </si>
  <si>
    <t xml:space="preserve">Gear at most %s</t>
  </si>
  <si>
    <t xml:space="preserve">489</t>
  </si>
  <si>
    <t xml:space="preserve">Collection</t>
  </si>
  <si>
    <t xml:space="preserve">Collection log, at the foot</t>
  </si>
  <si>
    <t xml:space="preserve">Info mark (comes up at once)</t>
  </si>
  <si>
    <t xml:space="preserve">Each unique found adds %d%% increased Damage, worn or not</t>
  </si>
  <si>
    <t xml:space="preserve">Each unique found adds 1% increased Damage, worn or not</t>
  </si>
  <si>
    <t xml:space="preserve">The rule behind the '+N% Damage' beside it, with the one doubt ('worn or not') answered.</t>
  </si>
  <si>
    <t xml:space="preserve">Scenes/UI/collection_page.gd</t>
  </si>
  <si>
    <t xml:space="preserve">79</t>
  </si>
  <si>
    <t xml:space="preserve">Leaderboard</t>
  </si>
  <si>
    <t xml:space="preserve">You, signed out</t>
  </si>
  <si>
    <t xml:space="preserve">Sign in button</t>
  </si>
  <si>
    <t xml:space="preserve">Put your descents on the board: your save goes to the cloud. You sign in with Google or Discord, in your browser</t>
  </si>
  <si>
    <t xml:space="preserve">Tells the player their save will be uploaded and that a browser will open, before the press. Good. 'Your descents' is out of date: there are three boards now.</t>
  </si>
  <si>
    <t xml:space="preserve">Put your scores on the boards: your save goes to the cloud. You sign in with Google or Discord, in your browser</t>
  </si>
  <si>
    <t xml:space="preserve">Scenes/UI/leaderboard_page.gd</t>
  </si>
  <si>
    <t xml:space="preserve">97</t>
  </si>
  <si>
    <t xml:space="preserve">You, signing in (also in Settings)</t>
  </si>
  <si>
    <t xml:space="preserve">The four big letters</t>
  </si>
  <si>
    <t xml:space="preserve">Signing in, in your browser. It shows these letters too: if they differ, close it</t>
  </si>
  <si>
    <t xml:space="preserve">The letters stand on the page with no words, so this is their only explanation, and it is a safety check. 'It' and 'close it' leave the reader to work out what.</t>
  </si>
  <si>
    <t xml:space="preserve">The sign-in page in your browser shows these same letters. If it shows different ones, close that page</t>
  </si>
  <si>
    <t xml:space="preserve">257</t>
  </si>
  <si>
    <t xml:space="preserve">Settings</t>
  </si>
  <si>
    <t xml:space="preserve">Items</t>
  </si>
  <si>
    <t xml:space="preserve">Detailed item descriptions tick</t>
  </si>
  <si>
    <t xml:space="preserve">Shows beside each modifier the lowest and highest it could have rolled at the item's level, like +14(8-20)% increased Damage</t>
  </si>
  <si>
    <t xml:space="preserve">Explains the setting and shows an example of the result. A model tooltip.</t>
  </si>
  <si>
    <t xml:space="preserve">Scenes/UI/settings_page.gd</t>
  </si>
  <si>
    <t xml:space="preserve">Cloud save</t>
  </si>
  <si>
    <t xml:space="preserve">Keep your save in the cloud and play it on any device. You sign in with Google or Discord, in your browser</t>
  </si>
  <si>
    <t xml:space="preserve">What it is for, who with, and that a browser opens.</t>
  </si>
  <si>
    <t xml:space="preserve">214</t>
  </si>
  <si>
    <t xml:space="preserve">Sign out button</t>
  </si>
  <si>
    <t xml:space="preserve">This device stops saving to the cloud and keeps its save</t>
  </si>
  <si>
    <t xml:space="preserve">Answers the worry behind the press: nothing is lost.</t>
  </si>
  <si>
    <t xml:space="preserve">233</t>
  </si>
  <si>
    <t xml:space="preserve">Delete cloud account button</t>
  </si>
  <si>
    <t xml:space="preserve">Delete your cloud save, your board name and your place on the board. This device keeps its save</t>
  </si>
  <si>
    <t xml:space="preserve">Lists everything that goes and the one thing that stays.</t>
  </si>
  <si>
    <t xml:space="preserve">236</t>
  </si>
  <si>
    <t xml:space="preserve">'Keep which save?'</t>
  </si>
  <si>
    <t xml:space="preserve">Keep this device's button</t>
  </si>
  <si>
    <t xml:space="preserve">This device's save goes to the cloud in the other's place</t>
  </si>
  <si>
    <t xml:space="preserve">A press that destroys a save for good. 'In the other's place' is a soft way to say the cloud's save is overwritten.</t>
  </si>
  <si>
    <t xml:space="preserve">This device's save replaces the cloud's</t>
  </si>
  <si>
    <t xml:space="preserve">Scenes/UI/cloud_question.gd</t>
  </si>
  <si>
    <t xml:space="preserve">45</t>
  </si>
  <si>
    <t xml:space="preserve">Keep the cloud's button</t>
  </si>
  <si>
    <t xml:space="preserve">The cloud's save replaces this device's</t>
  </si>
  <si>
    <t xml:space="preserve">Plain about what is lost.</t>
  </si>
  <si>
    <t xml:space="preserve">46</t>
  </si>
  <si>
    <t xml:space="preserve">Corner buttons</t>
  </si>
  <si>
    <t xml:space="preserve">Star button (icon only), key K</t>
  </si>
  <si>
    <t xml:space="preserve">Skill tree</t>
  </si>
  <si>
    <t xml:space="preserve">A star does not say skill tree. The name and the key are both news.</t>
  </si>
  <si>
    <t xml:space="preserve">911</t>
  </si>
  <si>
    <t xml:space="preserve">Chest button (icon only), key I</t>
  </si>
  <si>
    <t xml:space="preserve">Names the icon and shows its key.</t>
  </si>
  <si>
    <t xml:space="preserve">914</t>
  </si>
  <si>
    <t xml:space="preserve">Scroll button (icon only), key J</t>
  </si>
  <si>
    <t xml:space="preserve">A scroll could be many things. The name settles it.</t>
  </si>
  <si>
    <t xml:space="preserve">917</t>
  </si>
  <si>
    <t xml:space="preserve">Book button (icon only), key L</t>
  </si>
  <si>
    <t xml:space="preserve">Names the icon, but not what is collected (the uniques found).</t>
  </si>
  <si>
    <t xml:space="preserve">923</t>
  </si>
  <si>
    <t xml:space="preserve">Podium button (icon only), key P</t>
  </si>
  <si>
    <t xml:space="preserve">929</t>
  </si>
  <si>
    <t xml:space="preserve">Crown button (icon only), key H</t>
  </si>
  <si>
    <t xml:space="preserve">A crown does not say heirloom, so the name is needed. The word itself is only explained at a transcension.</t>
  </si>
  <si>
    <t xml:space="preserve">932</t>
  </si>
  <si>
    <t xml:space="preserve">The hero's portrait panel, key C</t>
  </si>
  <si>
    <t xml:space="preserve">Character</t>
  </si>
  <si>
    <t xml:space="preserve">Nothing else says the panel is a button.</t>
  </si>
  <si>
    <t xml:space="preserve">950</t>
  </si>
  <si>
    <t xml:space="preserve">Map edge</t>
  </si>
  <si>
    <t xml:space="preserve">The hero's badge (portrait and arrow)</t>
  </si>
  <si>
    <t xml:space="preserve">Find the hero</t>
  </si>
  <si>
    <t xml:space="preserve">Says the badge can be pressed. 'Find' reads as a task for the player, when the press does the finding.</t>
  </si>
  <si>
    <t xml:space="preserve">Centre the map on your hero</t>
  </si>
  <si>
    <t xml:space="preserve">731</t>
  </si>
  <si>
    <t xml:space="preserve">Map foot, while walking</t>
  </si>
  <si>
    <t xml:space="preserve">Stop button</t>
  </si>
  <si>
    <t xml:space="preserve">Stop on the next tile</t>
  </si>
  <si>
    <t xml:space="preserve">Adds the one thing the word Stop leaves open: where the hero ends up.</t>
  </si>
  <si>
    <t xml:space="preserve">734</t>
  </si>
  <si>
    <t xml:space="preserve">A cleared board's reward (pick 1 of 3)</t>
  </si>
  <si>
    <t xml:space="preserve">An orb among the three</t>
  </si>
  <si>
    <t xml:space="preserve">Only the orb's name is written under the square, so this is how a player choosing between three finds out what the orb does.</t>
  </si>
  <si>
    <t xml:space="preserve">1499</t>
  </si>
  <si>
    <t xml:space="preserve">Save error panel</t>
  </si>
  <si>
    <t xml:space="preserve">X on the title bar</t>
  </si>
  <si>
    <t xml:space="preserve">Never shown</t>
  </si>
  <si>
    <t xml:space="preserve">Quit</t>
  </si>
  <si>
    <t xml:space="preserve">This X quits the game, which is unusual and worth saying. But the panel is built before the tip card exists, so nothing can show it.</t>
  </si>
  <si>
    <t xml:space="preserve">Needs the word on the panel itself, as a Quit button</t>
  </si>
  <si>
    <t xml:space="preserve">638</t>
  </si>
  <si>
    <t xml:space="preserve">Fight screen, bottom right</t>
  </si>
  <si>
    <t xml:space="preserve">Sack button (icon and a count)</t>
  </si>
  <si>
    <t xml:space="preserve">What this run has turned up</t>
  </si>
  <si>
    <t xml:space="preserve">Explains an icon with no words. 'Turned up' is one of several words the game uses for loot.</t>
  </si>
  <si>
    <t xml:space="preserve">The loot found this run</t>
  </si>
  <si>
    <t xml:space="preserve">880</t>
  </si>
  <si>
    <t xml:space="preserve">Fight screen, top right, in the cave</t>
  </si>
  <si>
    <t xml:space="preserve">End the descent here</t>
  </si>
  <si>
    <t xml:space="preserve">Clear. It could add that depths already won are kept.</t>
  </si>
  <si>
    <t xml:space="preserve">904</t>
  </si>
  <si>
    <t xml:space="preserve">Fight result, lost</t>
  </si>
  <si>
    <t xml:space="preserve">Back arrow (icon only)</t>
  </si>
  <si>
    <t xml:space="preserve">Back to the map</t>
  </si>
  <si>
    <t xml:space="preserve">An arrow with no word beside a Retry.</t>
  </si>
  <si>
    <t xml:space="preserve">1013</t>
  </si>
  <si>
    <t xml:space="preserve">Filter tabs over the grid</t>
  </si>
  <si>
    <t xml:space="preserve">Tab (a 14 px mark, no word)</t>
  </si>
  <si>
    <t xml:space="preserve">All items</t>
  </si>
  <si>
    <t xml:space="preserve">Names a small mark. Needed most where the mark is abstract.</t>
  </si>
  <si>
    <t xml:space="preserve">44</t>
  </si>
  <si>
    <t xml:space="preserve">Offhands</t>
  </si>
  <si>
    <t xml:space="preserve">Amulets</t>
  </si>
  <si>
    <t xml:space="preserve">51</t>
  </si>
  <si>
    <t xml:space="preserve">Skill nodes</t>
  </si>
  <si>
    <t xml:space="preserve">52</t>
  </si>
  <si>
    <t xml:space="preserve">An open piece, away from town</t>
  </si>
  <si>
    <t xml:space="preserve">Discard button</t>
  </si>
  <si>
    <t xml:space="preserve">Discard this for good</t>
  </si>
  <si>
    <t xml:space="preserve">There is no question before the piece is destroyed, so 'for good' is the only warning.</t>
  </si>
  <si>
    <t xml:space="preserve">1115</t>
  </si>
  <si>
    <t xml:space="preserve">The doll</t>
  </si>
  <si>
    <t xml:space="preserve">Arrow in its corner (icon only)</t>
  </si>
  <si>
    <t xml:space="preserve">Hide what is equipped</t>
  </si>
  <si>
    <t xml:space="preserve">Names an arrow.</t>
  </si>
  <si>
    <t xml:space="preserve">1338</t>
  </si>
  <si>
    <t xml:space="preserve">Beside the bag, doll folded</t>
  </si>
  <si>
    <t xml:space="preserve">Arrow (icon only)</t>
  </si>
  <si>
    <t xml:space="preserve">Show what is equipped</t>
  </si>
  <si>
    <t xml:space="preserve">351</t>
  </si>
  <si>
    <t xml:space="preserve">Rule over the orb tray</t>
  </si>
  <si>
    <t xml:space="preserve">Chevron (icon only)</t>
  </si>
  <si>
    <t xml:space="preserve">Hide the orbs and runes</t>
  </si>
  <si>
    <t xml:space="preserve">Names a chevron.</t>
  </si>
  <si>
    <t xml:space="preserve">1565</t>
  </si>
  <si>
    <t xml:space="preserve">Show the orbs and runes</t>
  </si>
  <si>
    <t xml:space="preserve">Make heirloom button</t>
  </si>
  <si>
    <t xml:space="preserve">Keep this when the world is left behind</t>
  </si>
  <si>
    <t xml:space="preserve">The nearest thing to a definition of an heirloom the screen has.</t>
  </si>
  <si>
    <t xml:space="preserve">The offhand socket under a two-hander</t>
  </si>
  <si>
    <t xml:space="preserve">%s takes both hands</t>
  </si>
  <si>
    <t xml:space="preserve">Iron Greatsword takes both hands</t>
  </si>
  <si>
    <t xml:space="preserve">The square ignores the mouse, so the tip card never finds it. A pity: it is the only explanation of why the offhand cannot be filled.</t>
  </si>
  <si>
    <t xml:space="preserve">1322</t>
  </si>
  <si>
    <t xml:space="preserve">Bounty card</t>
  </si>
  <si>
    <t xml:space="preserve">The promised piece (a framed mark)</t>
  </si>
  <si>
    <t xml:space="preserve">(the promised piece, in words)</t>
  </si>
  <si>
    <t xml:space="preserve">A rare sword +1</t>
  </si>
  <si>
    <t xml:space="preserve">The square ignores the mouse, so the tip card never finds it. Until Claim is offered nothing says in words what the framed mark promises.</t>
  </si>
  <si>
    <t xml:space="preserve">252</t>
  </si>
  <si>
    <t xml:space="preserve">Bounty card (journal and board)</t>
  </si>
  <si>
    <t xml:space="preserve">A land's hexagon</t>
  </si>
  <si>
    <t xml:space="preserve">(the land's name)</t>
  </si>
  <si>
    <t xml:space="preserve">Grassland</t>
  </si>
  <si>
    <t xml:space="preserve">Names a small hexagon. The bare word does not say what the hexagons are for: where the monster lives.</t>
  </si>
  <si>
    <t xml:space="preserve">Found on %s</t>
  </si>
  <si>
    <t xml:space="preserve">196</t>
  </si>
  <si>
    <t xml:space="preserve">An orb among the rewards</t>
  </si>
  <si>
    <t xml:space="preserve">%d %s</t>
  </si>
  <si>
    <t xml:space="preserve">2 Orb of Chaos</t>
  </si>
  <si>
    <t xml:space="preserve">Names the orb, with the count in front when there are several. '2 Orb of Chaos' reads as a slip.</t>
  </si>
  <si>
    <t xml:space="preserve">%d x %s</t>
  </si>
  <si>
    <t xml:space="preserve">242</t>
  </si>
  <si>
    <t xml:space="preserve">Town page</t>
  </si>
  <si>
    <t xml:space="preserve">Counter tab (icon only)</t>
  </si>
  <si>
    <t xml:space="preserve">The only name a closed tab has.</t>
  </si>
  <si>
    <t xml:space="preserve">Scenes/Town/town_services.gd</t>
  </si>
  <si>
    <t xml:space="preserve">23</t>
  </si>
  <si>
    <t xml:space="preserve">Gear merchant</t>
  </si>
  <si>
    <t xml:space="preserve">Orb vendor</t>
  </si>
  <si>
    <t xml:space="preserve">25</t>
  </si>
  <si>
    <t xml:space="preserve">Blacksmith</t>
  </si>
  <si>
    <t xml:space="preserve">27</t>
  </si>
  <si>
    <t xml:space="preserve">Merchants, fortuneteller, blacksmith</t>
  </si>
  <si>
    <t xml:space="preserve">Any priced button, greyed</t>
  </si>
  <si>
    <t xml:space="preserve">Not enough gold</t>
  </si>
  <si>
    <t xml:space="preserve">The price is on the button, so the player can work it out. This confirms it.</t>
  </si>
  <si>
    <t xml:space="preserve">1596</t>
  </si>
  <si>
    <t xml:space="preserve">Orb vendor: Trade up</t>
  </si>
  <si>
    <t xml:space="preserve">An orb (third line of its card)</t>
  </si>
  <si>
    <t xml:space="preserve">Trade %d %s for one</t>
  </si>
  <si>
    <t xml:space="preserve">Trade 3 Orb of Transmutation for one</t>
  </si>
  <si>
    <t xml:space="preserve">'For one' of what? The answer is the card's title, two lines up.</t>
  </si>
  <si>
    <t xml:space="preserve">Costs %d %s</t>
  </si>
  <si>
    <t xml:space="preserve">496</t>
  </si>
  <si>
    <t xml:space="preserve">Claim button</t>
  </si>
  <si>
    <t xml:space="preserve">Hand this in for %s gold%s%s</t>
  </si>
  <si>
    <t xml:space="preserve">Hand this in for 1.2K gold, 300 experience and a rare sword +1</t>
  </si>
  <si>
    <t xml:space="preserve">The gold and experience are on the card above. This is the only place the promised piece is put into words.</t>
  </si>
  <si>
    <t xml:space="preserve">720</t>
  </si>
  <si>
    <t xml:space="preserve">Upgrade button</t>
  </si>
  <si>
    <t xml:space="preserve">Take this to level %d for %s gold. Its modifiers stay as they are</t>
  </si>
  <si>
    <t xml:space="preserve">Take this to level 6 for 2.4K gold. Its modifiers stay as they are</t>
  </si>
  <si>
    <t xml:space="preserve">The second sentence is the useful one. The price is on the button already.</t>
  </si>
  <si>
    <t xml:space="preserve">897</t>
  </si>
  <si>
    <t xml:space="preserve">Fortuneteller: the way out's question</t>
  </si>
  <si>
    <t xml:space="preserve">Transcend button</t>
  </si>
  <si>
    <t xml:space="preserve">Leave this world for %s gold</t>
  </si>
  <si>
    <t xml:space="preserve">Leave this world for 50K gold</t>
  </si>
  <si>
    <t xml:space="preserve">The button carries a coin and no figure, so this is the only place her question gives the sum.</t>
  </si>
  <si>
    <t xml:space="preserve">1260</t>
  </si>
  <si>
    <t xml:space="preserve">Skill tree page</t>
  </si>
  <si>
    <t xml:space="preserve">Reset button</t>
  </si>
  <si>
    <t xml:space="preserve">Take back every point, for gold</t>
  </si>
  <si>
    <t xml:space="preserve">Says what Reset resets: the points, not the nodes. The price is on the button. When Reset is grey (nothing spent, or too little gold) it says the same thing and not why.</t>
  </si>
  <si>
    <t xml:space="preserve">Take back every point you have spent</t>
  </si>
  <si>
    <t xml:space="preserve">Scenes/UI/skills_page.gd</t>
  </si>
  <si>
    <t xml:space="preserve">67</t>
  </si>
  <si>
    <t xml:space="preserve">Beside the hero's name</t>
  </si>
  <si>
    <t xml:space="preserve">Pencil (icon only)</t>
  </si>
  <si>
    <t xml:space="preserve">Rename</t>
  </si>
  <si>
    <t xml:space="preserve">Names an icon.</t>
  </si>
  <si>
    <t xml:space="preserve">Damage row</t>
  </si>
  <si>
    <t xml:space="preserve">Bare hands +%d</t>
  </si>
  <si>
    <t xml:space="preserve">Bare hands +1</t>
  </si>
  <si>
    <t xml:space="preserve">Explains damage that no item accounts for.</t>
  </si>
  <si>
    <t xml:space="preserve">465</t>
  </si>
  <si>
    <t xml:space="preserve">Collection +%d%%</t>
  </si>
  <si>
    <t xml:space="preserve">Collection +14%</t>
  </si>
  <si>
    <t xml:space="preserve">Ties the collection log's bonus to the number it changes.</t>
  </si>
  <si>
    <t xml:space="preserve">467</t>
  </si>
  <si>
    <t xml:space="preserve">Spawn Speed, Double Strike, Elite Chance, Recoup rows</t>
  </si>
  <si>
    <t xml:space="preserve">At most 100%</t>
  </si>
  <si>
    <t xml:space="preserve">476</t>
  </si>
  <si>
    <t xml:space="preserve">Base %s</t>
  </si>
  <si>
    <t xml:space="preserve">Splits the clock into what every hero has and what gear adds.</t>
  </si>
  <si>
    <t xml:space="preserve">485</t>
  </si>
  <si>
    <t xml:space="preserve">Gear %s</t>
  </si>
  <si>
    <t xml:space="preserve">See the row above.</t>
  </si>
  <si>
    <t xml:space="preserve">487</t>
  </si>
  <si>
    <t xml:space="preserve">Any row an attribute feeds</t>
  </si>
  <si>
    <t xml:space="preserve">%s +%.1f%%</t>
  </si>
  <si>
    <t xml:space="preserve">Strength +12.0%</t>
  </si>
  <si>
    <t xml:space="preserve">Shows the attribute's share of the number.</t>
  </si>
  <si>
    <t xml:space="preserve">498</t>
  </si>
  <si>
    <t xml:space="preserve">Tabs</t>
  </si>
  <si>
    <t xml:space="preserve">Gollux tab</t>
  </si>
  <si>
    <t xml:space="preserve">Deepest descent</t>
  </si>
  <si>
    <t xml:space="preserve">Shorter than it needs to be for a player who has not been down the cave.</t>
  </si>
  <si>
    <t xml:space="preserve">Deepest depth reached in Gollux's cave</t>
  </si>
  <si>
    <t xml:space="preserve">Walls tab</t>
  </si>
  <si>
    <t xml:space="preserve">Ice walls broken, in every world</t>
  </si>
  <si>
    <t xml:space="preserve">Right, but 'in every world' can be read as 'in each world' rather than a total.</t>
  </si>
  <si>
    <t xml:space="preserve">Ice walls broken in total, across every world</t>
  </si>
  <si>
    <t xml:space="preserve">Deepest tab</t>
  </si>
  <si>
    <t xml:space="preserve">Deepest tile charted, in any world</t>
  </si>
  <si>
    <t xml:space="preserve">Fine. The column is headed Level, which is what 'deepest' means here.</t>
  </si>
  <si>
    <t xml:space="preserve">29</t>
  </si>
  <si>
    <t xml:space="preserve">Items: 'Uniques when a whole level is sold or discarded'</t>
  </si>
  <si>
    <t xml:space="preserve">Ask button</t>
  </si>
  <si>
    <t xml:space="preserve">A unique among the handful is asked about on its own</t>
  </si>
  <si>
    <t xml:space="preserve">'The handful' is the pieces of one level, which the reader has to work out.</t>
  </si>
  <si>
    <t xml:space="preserve">Asks about each unique before it goes</t>
  </si>
  <si>
    <t xml:space="preserve">42</t>
  </si>
  <si>
    <t xml:space="preserve">Sell button</t>
  </si>
  <si>
    <t xml:space="preserve">A unique among the handful is sold or discarded with the rest</t>
  </si>
  <si>
    <t xml:space="preserve">As above.</t>
  </si>
  <si>
    <t xml:space="preserve">Uniques are sold or discarded with the rest</t>
  </si>
  <si>
    <t xml:space="preserve">Keep button</t>
  </si>
  <si>
    <t xml:space="preserve">A unique among the handful is left in the bag</t>
  </si>
  <si>
    <t xml:space="preserve">Uniques stay in the bag</t>
  </si>
  <si>
    <t xml:space="preserve">Foot</t>
  </si>
  <si>
    <t xml:space="preserve">Reset save button</t>
  </si>
  <si>
    <t xml:space="preserve">Delete the saves and start a new game</t>
  </si>
  <si>
    <t xml:space="preserve">Makes 'reset' concrete before the question is asked.</t>
  </si>
  <si>
    <t xml:space="preserve">399</t>
  </si>
  <si>
    <t xml:space="preserve">Credits</t>
  </si>
  <si>
    <t xml:space="preserve">Link mark after a name (icon only)</t>
  </si>
  <si>
    <t xml:space="preserve">LinkedIn</t>
  </si>
  <si>
    <t xml:space="preserve">Says where the press goes. It could add that a browser opens.</t>
  </si>
  <si>
    <t xml:space="preserve">478</t>
  </si>
  <si>
    <t xml:space="preserve">Black screen, a page open</t>
  </si>
  <si>
    <t xml:space="preserve">Back to the choice</t>
  </si>
  <si>
    <t xml:space="preserve">Names an arrow. 'The choice' is the four cards, which the screen never calls anything.</t>
  </si>
  <si>
    <t xml:space="preserve">Scenes/UI/transcend_page.gd</t>
  </si>
  <si>
    <t xml:space="preserve">105</t>
  </si>
  <si>
    <t xml:space="preserve">Black screen, the bag</t>
  </si>
  <si>
    <t xml:space="preserve">Crown or chest button (icon only)</t>
  </si>
  <si>
    <t xml:space="preserve">Your heirlooms</t>
  </si>
  <si>
    <t xml:space="preserve">Names where the button goes.</t>
  </si>
  <si>
    <t xml:space="preserve">109</t>
  </si>
  <si>
    <t xml:space="preserve">Black screen, the heirlooms</t>
  </si>
  <si>
    <t xml:space="preserve">364</t>
  </si>
  <si>
    <t xml:space="preserve">Cog button (icon only), key O</t>
  </si>
  <si>
    <t xml:space="preserve">A cog is understood everywhere. Only the key is news.</t>
  </si>
  <si>
    <t xml:space="preserve">920</t>
  </si>
  <si>
    <t xml:space="preserve">Trophy button (icon only), key Y</t>
  </si>
  <si>
    <t xml:space="preserve">Achievements</t>
  </si>
  <si>
    <t xml:space="preserve">A trophy mostly says it already. The key is the news.</t>
  </si>
  <si>
    <t xml:space="preserve">926</t>
  </si>
  <si>
    <t xml:space="preserve">Loot list, a piece opened</t>
  </si>
  <si>
    <t xml:space="preserve">Back to what was found</t>
  </si>
  <si>
    <t xml:space="preserve">An arrow with no word. Fine.</t>
  </si>
  <si>
    <t xml:space="preserve">Scenes/Combat/drops_view.gd</t>
  </si>
  <si>
    <t xml:space="preserve">119</t>
  </si>
  <si>
    <t xml:space="preserve">Camp</t>
  </si>
  <si>
    <t xml:space="preserve">Camp report</t>
  </si>
  <si>
    <t xml:space="preserve">X on the title bar, and Break camp</t>
  </si>
  <si>
    <t xml:space="preserve">Go back to the map</t>
  </si>
  <si>
    <t xml:space="preserve">'Break camp' is a figure of speech, and this says plainly what it does.</t>
  </si>
  <si>
    <t xml:space="preserve">Scenes/Combat/camp_scene.gd</t>
  </si>
  <si>
    <t xml:space="preserve">62, 102</t>
  </si>
  <si>
    <t xml:space="preserve">Weapons</t>
  </si>
  <si>
    <t xml:space="preserve">Helmets</t>
  </si>
  <si>
    <t xml:space="preserve">47</t>
  </si>
  <si>
    <t xml:space="preserve">Body armour</t>
  </si>
  <si>
    <t xml:space="preserve">Boots</t>
  </si>
  <si>
    <t xml:space="preserve">49</t>
  </si>
  <si>
    <t xml:space="preserve">Rings</t>
  </si>
  <si>
    <t xml:space="preserve">50</t>
  </si>
  <si>
    <t xml:space="preserve">A bag page on the black screen</t>
  </si>
  <si>
    <t xml:space="preserve">Back</t>
  </si>
  <si>
    <t xml:space="preserve">Here the X does not close the game's page, it goes back to the four cards. Worth saying, and 'Back to the choice' (as the arrow beside it says) would match.</t>
  </si>
  <si>
    <t xml:space="preserve">273</t>
  </si>
  <si>
    <t xml:space="preserve">Equip button</t>
  </si>
  <si>
    <t xml:space="preserve">Wear this in the %s slot%s</t>
  </si>
  <si>
    <t xml:space="preserve">Wear this in the weapon slot</t>
  </si>
  <si>
    <t xml:space="preserve">On its own it repeats Equip. It earns its place with the next row's ending.</t>
  </si>
  <si>
    <t xml:space="preserve">1088</t>
  </si>
  <si>
    <t xml:space="preserve">An empty socket</t>
  </si>
  <si>
    <t xml:space="preserve">Helmet / Amulet / Weapon / Offhand / Body / Ring / Boots</t>
  </si>
  <si>
    <t xml:space="preserve">The square ignores the mouse, so the tip card never finds it. Worth showing: the faint marks are not all easy to read.</t>
  </si>
  <si>
    <t xml:space="preserve">Scenes/Items/equipment.gd</t>
  </si>
  <si>
    <t xml:space="preserve">37</t>
  </si>
  <si>
    <t xml:space="preserve">Merchant's shelf</t>
  </si>
  <si>
    <t xml:space="preserve">A square already bought</t>
  </si>
  <si>
    <t xml:space="preserve">Bought. Restock fills the shelf again</t>
  </si>
  <si>
    <t xml:space="preserve">The square ignores the mouse, so the tip card never finds it. A good line going unread: it explains the empty square and points at Restock.</t>
  </si>
  <si>
    <t xml:space="preserve">625</t>
  </si>
  <si>
    <t xml:space="preserve">An orb with none held</t>
  </si>
  <si>
    <t xml:space="preserve">Not found yet</t>
  </si>
  <si>
    <t xml:space="preserve">Shown whenever the count is zero, so an orb the player found and spent also reads 'Not found yet'.</t>
  </si>
  <si>
    <t xml:space="preserve">None held</t>
  </si>
  <si>
    <t xml:space="preserve">Scenes/UI/orb_card.gd</t>
  </si>
  <si>
    <t xml:space="preserve">64</t>
  </si>
  <si>
    <t xml:space="preserve">A super orb with none left</t>
  </si>
  <si>
    <t xml:space="preserve">None left to spend</t>
  </si>
  <si>
    <t xml:space="preserve">Plain.</t>
  </si>
  <si>
    <t xml:space="preserve">Leave the town</t>
  </si>
  <si>
    <t xml:space="preserve">This X leaves a place, not a page. Fair to say so.</t>
  </si>
  <si>
    <t xml:space="preserve">260</t>
  </si>
  <si>
    <t xml:space="preserve">Back arrow under an open piece (icon only)</t>
  </si>
  <si>
    <t xml:space="preserve">Back to what the vendor has</t>
  </si>
  <si>
    <t xml:space="preserve">646</t>
  </si>
  <si>
    <t xml:space="preserve">The pips, board cleared</t>
  </si>
  <si>
    <t xml:space="preserve">Your reward is waiting</t>
  </si>
  <si>
    <t xml:space="preserve">True, and the Reward button under it says the same.</t>
  </si>
  <si>
    <t xml:space="preserve">677</t>
  </si>
  <si>
    <t xml:space="preserve">Reward button</t>
  </si>
  <si>
    <t xml:space="preserve">Choose your reward for clearing this board</t>
  </si>
  <si>
    <t xml:space="preserve">Adds that there is a choice.</t>
  </si>
  <si>
    <t xml:space="preserve">682</t>
  </si>
  <si>
    <t xml:space="preserve">Cancel button</t>
  </si>
  <si>
    <t xml:space="preserve">Stay in this world</t>
  </si>
  <si>
    <t xml:space="preserve">A calm line beside the game's biggest decision.</t>
  </si>
  <si>
    <t xml:space="preserve">1254</t>
  </si>
  <si>
    <t xml:space="preserve">Sight row</t>
  </si>
  <si>
    <t xml:space="preserve">Base %d</t>
  </si>
  <si>
    <t xml:space="preserve">Base 2 / Gear +1</t>
  </si>
  <si>
    <t xml:space="preserve">Fine.</t>
  </si>
  <si>
    <t xml:space="preserve">491</t>
  </si>
  <si>
    <t xml:space="preserve">Gear +%d</t>
  </si>
  <si>
    <t xml:space="preserve">493</t>
  </si>
  <si>
    <t xml:space="preserve">Top</t>
  </si>
  <si>
    <t xml:space="preserve">A row of the board</t>
  </si>
  <si>
    <t xml:space="preserve">Reached %s</t>
  </si>
  <si>
    <t xml:space="preserve">Reached 2026-10-08 14:03:22</t>
  </si>
  <si>
    <t xml:space="preserve">When the score was set. The time is UTC to the second and does not say so.</t>
  </si>
  <si>
    <t xml:space="preserve">185</t>
  </si>
  <si>
    <t xml:space="preserve">Loot filter: Material</t>
  </si>
  <si>
    <t xml:space="preserve">Iron button</t>
  </si>
  <si>
    <t xml:space="preserve">The second material or better</t>
  </si>
  <si>
    <t xml:space="preserve">Says less than the button: 'Iron' is a material, 'the second material' is a riddle. It is here because not every kind of item is made of metal.</t>
  </si>
  <si>
    <t xml:space="preserve">Iron or better: the second material of every kind of item</t>
  </si>
  <si>
    <t xml:space="preserve">Steel button</t>
  </si>
  <si>
    <t xml:space="preserve">The third material or better</t>
  </si>
  <si>
    <t xml:space="preserve">Says less than the button: 'Iron' is a material, 'the third material' is a riddle. It is here because not every kind of item is made of metal.</t>
  </si>
  <si>
    <t xml:space="preserve">Steel or better: the third material of every kind of item</t>
  </si>
  <si>
    <t xml:space="preserve">Gold button</t>
  </si>
  <si>
    <t xml:space="preserve">The fourth material or better</t>
  </si>
  <si>
    <t xml:space="preserve">Says less than the button: 'Iron' is a material, 'the fourth material' is a riddle. It is here because not every kind of item is made of metal.</t>
  </si>
  <si>
    <t xml:space="preserve">Gold or better: the fourth material of every kind of item</t>
  </si>
  <si>
    <t xml:space="preserve">Master button</t>
  </si>
  <si>
    <t xml:space="preserve">Masterwork only</t>
  </si>
  <si>
    <t xml:space="preserve">Spells out the short word on the button.</t>
  </si>
  <si>
    <t xml:space="preserve">Controls and Credits screens</t>
  </si>
  <si>
    <t xml:space="preserve">Back to the settings</t>
  </si>
  <si>
    <t xml:space="preserve">443, 470</t>
  </si>
  <si>
    <t xml:space="preserve">Black screen, the curse table</t>
  </si>
  <si>
    <t xml:space="preserve">This X goes back, not out.</t>
  </si>
  <si>
    <t xml:space="preserve">241</t>
  </si>
  <si>
    <t xml:space="preserve">Close and deselect the tile</t>
  </si>
  <si>
    <t xml:space="preserve">An X needs no help, but 'deselect' is a small real fact.</t>
  </si>
  <si>
    <t xml:space="preserve">741</t>
  </si>
  <si>
    <t xml:space="preserve">Move here button</t>
  </si>
  <si>
    <t xml:space="preserve">Walk to the selected tile</t>
  </si>
  <si>
    <t xml:space="preserve">Says what the button's own words say.</t>
  </si>
  <si>
    <t xml:space="preserve">793</t>
  </si>
  <si>
    <t xml:space="preserve">Enter town button</t>
  </si>
  <si>
    <t xml:space="preserve">Go inside and see what is traded here</t>
  </si>
  <si>
    <t xml:space="preserve">Repeats the button. The services are listed in the panel above it.</t>
  </si>
  <si>
    <t xml:space="preserve">807</t>
  </si>
  <si>
    <t xml:space="preserve">Bounty reward pop-up</t>
  </si>
  <si>
    <t xml:space="preserve">Collect button</t>
  </si>
  <si>
    <t xml:space="preserve">Put it all away</t>
  </si>
  <si>
    <t xml:space="preserve">'Away' where? The button already says Collect. If kept, say where it goes.</t>
  </si>
  <si>
    <t xml:space="preserve">Add it all to your bag</t>
  </si>
  <si>
    <t xml:space="preserve">1384</t>
  </si>
  <si>
    <t xml:space="preserve">Fight result, won</t>
  </si>
  <si>
    <t xml:space="preserve">Take it all back to the map</t>
  </si>
  <si>
    <t xml:space="preserve">Loot now goes into the bag as it drops, so there is nothing left to take. The press only leaves.</t>
  </si>
  <si>
    <t xml:space="preserve">1006</t>
  </si>
  <si>
    <t xml:space="preserve">Retry button</t>
  </si>
  <si>
    <t xml:space="preserve">Fight for this tile again</t>
  </si>
  <si>
    <t xml:space="preserve">Repeats the button.</t>
  </si>
  <si>
    <t xml:space="preserve">1016</t>
  </si>
  <si>
    <t xml:space="preserve">Fight result, in the cave</t>
  </si>
  <si>
    <t xml:space="preserve">Leave button</t>
  </si>
  <si>
    <t xml:space="preserve">1814</t>
  </si>
  <si>
    <t xml:space="preserve">Loot panel, mid-fight</t>
  </si>
  <si>
    <t xml:space="preserve">Close button</t>
  </si>
  <si>
    <t xml:space="preserve">Back to the fight</t>
  </si>
  <si>
    <t xml:space="preserve">1040</t>
  </si>
  <si>
    <t xml:space="preserve">Sell this to the merchant for %s gold</t>
  </si>
  <si>
    <t xml:space="preserve">Sell this to the merchant for 340 gold</t>
  </si>
  <si>
    <t xml:space="preserve">The word and the price are both on the button.</t>
  </si>
  <si>
    <t xml:space="preserve">1109</t>
  </si>
  <si>
    <t xml:space="preserve">Unequip button</t>
  </si>
  <si>
    <t xml:space="preserve">Take this off and put it back in the bag</t>
  </si>
  <si>
    <t xml:space="preserve">Buy button</t>
  </si>
  <si>
    <t xml:space="preserve">Buy this and put it in your bag for %s gold</t>
  </si>
  <si>
    <t xml:space="preserve">Buy this and put it in your bag for 340 gold</t>
  </si>
  <si>
    <t xml:space="preserve">640</t>
  </si>
  <si>
    <t xml:space="preserve">An orb on the shelf (third line of its card)</t>
  </si>
  <si>
    <t xml:space="preserve">%s gold%s</t>
  </si>
  <si>
    <t xml:space="preserve">120 gold. Not enough gold</t>
  </si>
  <si>
    <t xml:space="preserve">Repeats the price under the square. Harmless on a card that is already up.</t>
  </si>
  <si>
    <t xml:space="preserve">456</t>
  </si>
  <si>
    <t xml:space="preserve">Fortuneteller: Appraise's answer</t>
  </si>
  <si>
    <t xml:space="preserve">A modifier's percentage</t>
  </si>
  <si>
    <t xml:space="preserve">Weight %d</t>
  </si>
  <si>
    <t xml:space="preserve">Weight 120</t>
  </si>
  <si>
    <t xml:space="preserve">A raw table weight means nothing without the total, and the percentage beside it is that figure already worked out.</t>
  </si>
  <si>
    <t xml:space="preserve">1415</t>
  </si>
  <si>
    <t xml:space="preserve">- button</t>
  </si>
  <si>
    <t xml:space="preserve">Zoom out</t>
  </si>
  <si>
    <t xml:space="preserve">Harmless.</t>
  </si>
  <si>
    <t xml:space="preserve">Scenes/UI/skill_tree_view.gd</t>
  </si>
  <si>
    <t xml:space="preserve">+ button</t>
  </si>
  <si>
    <t xml:space="preserve">Zoom in</t>
  </si>
  <si>
    <t xml:space="preserve">Refresh button</t>
  </si>
  <si>
    <t xml:space="preserve">Read the board again</t>
  </si>
  <si>
    <t xml:space="preserve">65</t>
  </si>
  <si>
    <t xml:space="preserve">You, signing in</t>
  </si>
  <si>
    <t xml:space="preserve">Stop signing in</t>
  </si>
  <si>
    <t xml:space="preserve">Says what is being cancelled.</t>
  </si>
  <si>
    <t xml:space="preserve">92</t>
  </si>
  <si>
    <t xml:space="preserve">You, choosing a name</t>
  </si>
  <si>
    <t xml:space="preserve">Choose name button</t>
  </si>
  <si>
    <t xml:space="preserve">Put this name on the board</t>
  </si>
  <si>
    <t xml:space="preserve">Repeats the button. When the button is grey (a name under three letters) nothing says why.</t>
  </si>
  <si>
    <t xml:space="preserve">115</t>
  </si>
  <si>
    <t xml:space="preserve">Any button</t>
  </si>
  <si>
    <t xml:space="preserve">Every material</t>
  </si>
  <si>
    <t xml:space="preserve">Cancel button, signing in</t>
  </si>
  <si>
    <t xml:space="preserve">211</t>
  </si>
  <si>
    <t xml:space="preserve">Take button</t>
  </si>
  <si>
    <t xml:space="preserve">Take this one</t>
  </si>
  <si>
    <t xml:space="preserve">1511</t>
  </si>
  <si>
    <t xml:space="preserve">Take button, greyed</t>
  </si>
  <si>
    <t xml:space="preserve">Nothing to take</t>
  </si>
  <si>
    <t xml:space="preserve">A safety answer for an option that is not there. A player should never see it.</t>
  </si>
  <si>
    <t xml:space="preserve">810</t>
  </si>
  <si>
    <t xml:space="preserve">Banners (achievement, new unique)</t>
  </si>
  <si>
    <t xml:space="preserve">X on the banner</t>
  </si>
  <si>
    <t xml:space="preserve">Close</t>
  </si>
  <si>
    <t xml:space="preserve">An X is an X.</t>
  </si>
  <si>
    <t xml:space="preserve">1299</t>
  </si>
  <si>
    <t xml:space="preserve">Title bar</t>
  </si>
  <si>
    <t xml:space="preserve">X</t>
  </si>
  <si>
    <t xml:space="preserve">Close the item panel</t>
  </si>
  <si>
    <t xml:space="preserve">274</t>
  </si>
  <si>
    <t xml:space="preserve">Close the heirlooms</t>
  </si>
  <si>
    <t xml:space="preserve">It does not go there</t>
  </si>
  <si>
    <t xml:space="preserve">A safety answer: Equip is only offered for slots the piece fits. A player should never see it.</t>
  </si>
  <si>
    <t xml:space="preserve">504</t>
  </si>
  <si>
    <t xml:space="preserve">Every item square</t>
  </si>
  <si>
    <t xml:space="preserve">A piece in the bag, on the doll or on a shelf</t>
  </si>
  <si>
    <t xml:space="preserve">%s (%s, level %d)</t>
  </si>
  <si>
    <t xml:space="preserve">Iron Sword (Rare, level 4)</t>
  </si>
  <si>
    <t xml:space="preserve">The square ignores the mouse, so the tip card never finds it. Nothing is lost: the item card beside the square says all of this and more.</t>
  </si>
  <si>
    <t xml:space="preserve">Scenes/UI/item_slot.gd</t>
  </si>
  <si>
    <t xml:space="preserve">81</t>
  </si>
  <si>
    <t xml:space="preserve">Collection log</t>
  </si>
  <si>
    <t xml:space="preserve">A unique not found yet</t>
  </si>
  <si>
    <t xml:space="preserve">The square ignores the mouse, so the tip card never finds it. The card beside the square says more.</t>
  </si>
  <si>
    <t xml:space="preserve">201</t>
  </si>
  <si>
    <t xml:space="preserve">A placed skill node</t>
  </si>
  <si>
    <t xml:space="preserve">(the node's name)</t>
  </si>
  <si>
    <t xml:space="preserve">The square ignores the mouse, so the tip card never finds it. The node's card says more.</t>
  </si>
  <si>
    <t xml:space="preserve">238</t>
  </si>
  <si>
    <t xml:space="preserve">Blacksmith, nothing held up</t>
  </si>
  <si>
    <t xml:space="preserve">The empty anvil square</t>
  </si>
  <si>
    <t xml:space="preserve">Open an item in your bag or on your doll</t>
  </si>
  <si>
    <t xml:space="preserve">The square ignores the mouse, so the tip card never finds it. The same sentence is written on the page beside it.</t>
  </si>
  <si>
    <t xml:space="preserve">912</t>
  </si>
  <si>
    <t xml:space="preserve">Close the bounty list</t>
  </si>
  <si>
    <t xml:space="preserve">75</t>
  </si>
  <si>
    <t xml:space="preserve">Give up button</t>
  </si>
  <si>
    <t xml:space="preserve">Give this bounty up</t>
  </si>
  <si>
    <t xml:space="preserve">Repeats the button. The cost of giving up is only said after the first press, when the pointer is already on its way down again.</t>
  </si>
  <si>
    <t xml:space="preserve">Give this bounty up and lose its progress</t>
  </si>
  <si>
    <t xml:space="preserve">392</t>
  </si>
  <si>
    <t xml:space="preserve">Accept button</t>
  </si>
  <si>
    <t xml:space="preserve">Take this work on</t>
  </si>
  <si>
    <t xml:space="preserve">Repeats the button, and calls a bounty 'work', a third word for it after bounty and posting.</t>
  </si>
  <si>
    <t xml:space="preserve">Any spell, greyed</t>
  </si>
  <si>
    <t xml:space="preserve">She sees nothing here</t>
  </si>
  <si>
    <t xml:space="preserve">Only said when the page has no map behind it, which does not happen in play.</t>
  </si>
  <si>
    <t xml:space="preserve">1440</t>
  </si>
  <si>
    <t xml:space="preserve">Already banished</t>
  </si>
  <si>
    <t xml:space="preserve">A banished unique gets a Restore button in Banish's place, so this cannot be seen.</t>
  </si>
  <si>
    <t xml:space="preserve">168</t>
  </si>
  <si>
    <t xml:space="preserve">Close the skill tree</t>
  </si>
  <si>
    <t xml:space="preserve">112</t>
  </si>
  <si>
    <t xml:space="preserve">Close the collection</t>
  </si>
  <si>
    <t xml:space="preserve">Achievements page</t>
  </si>
  <si>
    <t xml:space="preserve">Close the achievements</t>
  </si>
  <si>
    <t xml:space="preserve">Scenes/UI/achievements_page.gd</t>
  </si>
  <si>
    <t xml:space="preserve">Close the leaderboard</t>
  </si>
  <si>
    <t xml:space="preserve">56</t>
  </si>
  <si>
    <t xml:space="preserve">Close the settings</t>
  </si>
  <si>
    <t xml:space="preserve">Settings foot (debug builds)</t>
  </si>
  <si>
    <t xml:space="preserve">Developer button</t>
  </si>
  <si>
    <t xml:space="preserve">Dev: the tools a release build has none of</t>
  </si>
  <si>
    <t xml:space="preserve">395</t>
  </si>
  <si>
    <t xml:space="preserve">Developer screen</t>
  </si>
  <si>
    <t xml:space="preserve">Show all uniques tick</t>
  </si>
  <si>
    <t xml:space="preserve">The collection log draws every unique as found</t>
  </si>
  <si>
    <t xml:space="preserve">Show all chests tick</t>
  </si>
  <si>
    <t xml:space="preserve">Every chest is drawn on the map, fog or not</t>
  </si>
  <si>
    <t xml:space="preserve">500</t>
  </si>
  <si>
    <t xml:space="preserve">Show old icons tick</t>
  </si>
  <si>
    <t xml:space="preserve">An item whose icon was replaced wears its old one, from the next time it is drawn</t>
  </si>
  <si>
    <t xml:space="preserve">Show all services tick</t>
  </si>
  <si>
    <t xml:space="preserve">Every settlement offers every counter, from the next time one is entered</t>
  </si>
  <si>
    <t xml:space="preserve">507</t>
  </si>
  <si>
    <t xml:space="preserve">Even loot tick</t>
  </si>
  <si>
    <t xml:space="preserve">A body drops loot one time in three, every rarity from common to unique as likely, from the next fight</t>
  </si>
  <si>
    <t xml:space="preserve">511</t>
  </si>
  <si>
    <t xml:space="preserve">Unlock Banish tick</t>
  </si>
  <si>
    <t xml:space="preserve">The fortuneteller offers Banish however few uniques are unlocked, from the next time her tab is opened</t>
  </si>
  <si>
    <t xml:space="preserve">514</t>
  </si>
  <si>
    <t xml:space="preserve">Gold x10 button</t>
  </si>
  <si>
    <t xml:space="preserve">Multiply your gold by ten</t>
  </si>
  <si>
    <t xml:space="preserve">516</t>
  </si>
  <si>
    <t xml:space="preserve">Skill points +10 button</t>
  </si>
  <si>
    <t xml:space="preserve">Ten levels, and the ten skill points they earn</t>
  </si>
  <si>
    <t xml:space="preserve">Balancing button</t>
  </si>
  <si>
    <t xml:space="preserve">Scale enemy health wall by wall</t>
  </si>
  <si>
    <t xml:space="preserve">519</t>
  </si>
  <si>
    <t xml:space="preserve">Item generator button</t>
  </si>
  <si>
    <t xml:space="preserve">Make an item to order</t>
  </si>
  <si>
    <t xml:space="preserve">521</t>
  </si>
  <si>
    <t xml:space="preserve">Back arrow</t>
  </si>
  <si>
    <t xml:space="preserve">494</t>
  </si>
  <si>
    <t xml:space="preserve">Balancing</t>
  </si>
  <si>
    <t xml:space="preserve">/10, -1, +1, x10 buttons</t>
  </si>
  <si>
    <t xml:space="preserve">Divide by 10 / Take 1 away / Add 1 / Multiply by 10</t>
  </si>
  <si>
    <t xml:space="preserve">The health figure</t>
  </si>
  <si>
    <t xml:space="preserve">The health of an ordinary body on this circle's first ring. Every body in the circle scales with it</t>
  </si>
  <si>
    <t xml:space="preserve">Back to the developer tools</t>
  </si>
  <si>
    <t xml:space="preserve">543</t>
  </si>
  <si>
    <t xml:space="preserve">Item generator</t>
  </si>
  <si>
    <t xml:space="preserve">Arrows either side of the kind</t>
  </si>
  <si>
    <t xml:space="preserve">Previous kind / Next kind</t>
  </si>
  <si>
    <t xml:space="preserve">Scenes/UI/item_generator.gd</t>
  </si>
  <si>
    <t xml:space="preserve">An orb in its tray</t>
  </si>
  <si>
    <t xml:space="preserve">%s: %s (the orb's name, then its description or why it is grey)</t>
  </si>
  <si>
    <t xml:space="preserve">Back arrow (it goes to the developer screen, not the settings)</t>
  </si>
  <si>
    <t xml:space="preserve">158</t>
  </si>
  <si>
    <t xml:space="preserve">Add to bag, greyed</t>
  </si>
  <si>
    <t xml:space="preserve">161</t>
  </si>
  <si>
    <t xml:space="preserve">Habit</t>
  </si>
  <si>
    <t xml:space="preserve">What to do</t>
  </si>
  <si>
    <t xml:space="preserve">The best tooltips say what the press changes</t>
  </si>
  <si>
    <t xml:space="preserve">Farm ('for as long as you like, for the loot'), Restock ('Each time costs twice the last'), the attribute chips, Detailed item descriptions (with an example), the level heading's 'Sell 7 level 3 items for 1.2K gold', Sign out ('keeps its save'), Armour ('18% off every blow').</t>
  </si>
  <si>
    <t xml:space="preserve">Use these as the pattern: a consequence, a number or a reassurance the button's own word cannot carry.</t>
  </si>
  <si>
    <t xml:space="preserve">Some two dozen only repeat their button</t>
  </si>
  <si>
    <t xml:space="preserve">'Take this one' on Take, 'Give this bounty up' on Give up, 'Walk to the selected tile' on Move here, 'Take this work on' on Accept, 'Read the board again' on Refresh, and 'Close the ...' on every X.</t>
  </si>
  <si>
    <t xml:space="preserve">Cut them, or give each the one fact the button leaves out (as 'Stop on the next tile' does for Stop). Filter Verdict = Cut for the list.</t>
  </si>
  <si>
    <t xml:space="preserve">Some tooltips can never be seen</t>
  </si>
  <si>
    <t xml:space="preserve">Every item square ignores the mouse so that the grid under it can be dragged, and the tip card only reads what the mouse is on. Lost with it: the doll's socket names, 'Iron Greatsword takes both hands', a bounty's promised piece in words, 'Bought. Restock fills the shelf again'. The save error panel's 'Quit' is built before the tip card exists.</t>
  </si>
  <si>
    <t xml:space="preserve">Filter Kind = Never shown. Five are worth rescuing (Verdict = Never shows). The rest are covered by the item card and can stay as they are.</t>
  </si>
  <si>
    <t xml:space="preserve">An orb's sentence leaves out its catch</t>
  </si>
  <si>
    <t xml:space="preserve">Transmutation and Alchemy lower a rarer item and do not say so. Augmentation says 'at any rarity' and refuses a common item. The smith's Lock picks its modifier at random and the tooltip says only 'Pin one of its modifiers'. No rune card says how long its work lasts.</t>
  </si>
  <si>
    <t xml:space="preserve">These are the only explanations the game gives, and each is spent on something the player cannot undo. Say the catch first.</t>
  </si>
  <si>
    <t xml:space="preserve">One thing, several words</t>
  </si>
  <si>
    <t xml:space="preserve">Lock (the button), pin (its tooltip), bind (the super orb) and Never sell (the bag's padlock). Bounty, posting and 'work'. 'Spent here' and 'Already bought here' for the same once-a-town rule. 'Turned up', 'found' and 'collect' for loot. 'Out of the fog' where every other game says reveal.</t>
  </si>
  <si>
    <t xml:space="preserve">Pick one word for each and use it on the button and in its tooltip alike.</t>
  </si>
  <si>
    <t xml:space="preserve">Words the player has never been given</t>
  </si>
  <si>
    <t xml:space="preserve">'Sell all' and 'the bin' are icons with no name on screen, yet the Never sell tooltip is written in them. 'The handful', 'the drop pool', 'reroll', 'tier', 'ascended', 'the choice', 'a skull for your curses'.</t>
  </si>
  <si>
    <t xml:space="preserve">Either name the thing where it stands, or describe it in the tooltip ('when a whole level is sold or discarded').</t>
  </si>
  <si>
    <t xml:space="preserve">A few are out of date</t>
  </si>
  <si>
    <t xml:space="preserve">Sign in says 'Put your descents on the board' and there are three boards. Collect says 'Take it all back to the map' and loot is already in the bag. The Abilities unlock describes something not built. An orb spent to nothing reads 'Not found yet'.</t>
  </si>
  <si>
    <t xml:space="preserve">Filter Verdict = Check.</t>
  </si>
  <si>
    <t xml:space="preserve">Grey buttons nearly always say why, which is right</t>
  </si>
  <si>
    <t xml:space="preserve">Equip, Unequip, Buy, Claim, Restock, the smith's two, every spell, Chart and Farm all give the reason, and most say what to do about it ('Open an item in your bag').</t>
  </si>
  <si>
    <t xml:space="preserve">Three still do not: the skill tree's Reset, the leaderboard's Choose name under three letters, and Make heirloom on a broken piece (it states the fact, not the rule). Banish stays silent by your ruling of 2026-10-10.</t>
  </si>
  <si>
    <t xml:space="preserve">Where a tooltip is missing</t>
  </si>
  <si>
    <t xml:space="preserve">The character page's rows say where a number comes from and when it is capped, never what the stat does. Recoup, Time on Hit, Bleed, Elite Chance and most of the others have an empty tooltip.</t>
  </si>
  <si>
    <t xml:space="preserve">The Armour and Dodge rows show the way: one short line that turns the stat into what happens in a fight.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</si>
</sst>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3B2A1E"/>
        <bgColor rgb="FF333300"/>
      </patternFill>
    </fill>
  </fills>
  <borders count="2">
    <border diagonalUp="false" diagonalDown="false">
      <left/>
      <right/>
      <top/>
      <bottom/>
      <diagonal/>
    </border>
    <border diagonalUp="false" diagonalDown="false">
      <left/>
      <right/>
      <top/>
      <bottom style="thin">
        <color rgb="FFD9D2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1"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3B2A1E"/>
          <bgColor rgb="FF000000"/>
        </patternFill>
      </fill>
    </dxf>
    <dxf>
      <fill>
        <patternFill patternType="solid">
          <bgColor rgb="FF000000"/>
        </patternFill>
      </fill>
    </dxf>
    <dxf>
      <fill>
        <patternFill patternType="solid">
          <fgColor rgb="FFFFFFFF"/>
          <bgColor rgb="FF000000"/>
        </patternFill>
      </fill>
    </dxf>
    <dxf>
      <fill>
        <patternFill patternType="solid">
          <fgColor rgb="FFCFE8CF"/>
          <bgColor rgb="FF000000"/>
        </patternFill>
      </fill>
    </dxf>
    <dxf>
      <fill>
        <patternFill patternType="solid">
          <fgColor rgb="FFF4C7C3"/>
          <bgColor rgb="FF000000"/>
        </patternFill>
      </fill>
    </dxf>
    <dxf>
      <fill>
        <patternFill patternType="solid">
          <fgColor rgb="FFFCE8B2"/>
          <bgColor rgb="FF000000"/>
        </patternFill>
      </fill>
    </dxf>
    <dxf>
      <fill>
        <patternFill>
          <bgColor rgb="FFF4C7C3"/>
        </patternFill>
      </fill>
    </dxf>
    <dxf>
      <fill>
        <patternFill>
          <bgColor rgb="FFFCE8B2"/>
        </patternFill>
      </fill>
    </dxf>
    <dxf>
      <fill>
        <patternFill>
          <bgColor rgb="FFCFE8C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8CF"/>
      <rgbColor rgb="FFFCE8B2"/>
      <rgbColor rgb="FF99CCFF"/>
      <rgbColor rgb="FFFF99CC"/>
      <rgbColor rgb="FFCC99FF"/>
      <rgbColor rgb="FFF4C7C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5"/>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20"/>
  </cols>
  <sheetData>
    <row r="1" customFormat="false" ht="17.35" hidden="false" customHeight="false" outlineLevel="0" collapsed="false">
      <c r="A1" s="2" t="s">
        <v>0</v>
      </c>
      <c r="B1" s="3"/>
    </row>
    <row r="2" customFormat="false" ht="15" hidden="false" customHeight="false" outlineLevel="0" collapsed="false">
      <c r="A2" s="4" t="s">
        <v>1</v>
      </c>
      <c r="B2" s="3" t="s">
        <v>2</v>
      </c>
    </row>
    <row r="3" customFormat="false" ht="15" hidden="false" customHeight="false" outlineLevel="0" collapsed="false">
      <c r="A3" s="4"/>
      <c r="B3" s="3"/>
    </row>
    <row r="4" customFormat="false" ht="15" hidden="false" customHeight="false" outlineLevel="0" collapsed="false">
      <c r="A4" s="4" t="s">
        <v>3</v>
      </c>
      <c r="B4" s="3"/>
    </row>
    <row r="5" customFormat="false" ht="15" hidden="false" customHeight="false" outlineLevel="0" collapsed="false">
      <c r="A5" s="4" t="s">
        <v>4</v>
      </c>
      <c r="B5" s="3" t="s">
        <v>5</v>
      </c>
    </row>
    <row r="6" customFormat="false" ht="15" hidden="false" customHeight="false" outlineLevel="0" collapsed="false">
      <c r="A6" s="4" t="s">
        <v>6</v>
      </c>
      <c r="B6" s="3" t="s">
        <v>7</v>
      </c>
    </row>
    <row r="7" customFormat="false" ht="15" hidden="false" customHeight="false" outlineLevel="0" collapsed="false">
      <c r="A7" s="4" t="s">
        <v>8</v>
      </c>
      <c r="B7" s="3" t="s">
        <v>9</v>
      </c>
    </row>
    <row r="8" customFormat="false" ht="15" hidden="false" customHeight="false" outlineLevel="0" collapsed="false">
      <c r="A8" s="4"/>
      <c r="B8" s="3"/>
    </row>
    <row r="9" customFormat="false" ht="15" hidden="false" customHeight="false" outlineLevel="0" collapsed="false">
      <c r="A9" s="4" t="s">
        <v>10</v>
      </c>
      <c r="B9" s="3"/>
    </row>
    <row r="10" customFormat="false" ht="15" hidden="false" customHeight="false" outlineLevel="0" collapsed="false">
      <c r="A10" s="4" t="s">
        <v>11</v>
      </c>
      <c r="B10" s="3" t="n">
        <f aca="false">COUNTA(Tooltips!F2:F217)</f>
        <v>216</v>
      </c>
    </row>
    <row r="11" customFormat="false" ht="15" hidden="false" customHeight="false" outlineLevel="0" collapsed="false">
      <c r="A11" s="4" t="s">
        <v>12</v>
      </c>
      <c r="B11" s="3" t="n">
        <f aca="false">COUNTIF(Tooltips!K2:K217,"Keep")</f>
        <v>73</v>
      </c>
    </row>
    <row r="12" customFormat="false" ht="15" hidden="false" customHeight="false" outlineLevel="0" collapsed="false">
      <c r="A12" s="4" t="s">
        <v>13</v>
      </c>
      <c r="B12" s="3" t="n">
        <f aca="false">COUNTIF(Tooltips!K2:K217,"Reword")</f>
        <v>54</v>
      </c>
    </row>
    <row r="13" customFormat="false" ht="15" hidden="false" customHeight="false" outlineLevel="0" collapsed="false">
      <c r="A13" s="4" t="s">
        <v>14</v>
      </c>
      <c r="B13" s="3" t="n">
        <f aca="false">COUNTIF(Tooltips!K2:K217,"Cut")</f>
        <v>85</v>
      </c>
    </row>
    <row r="14" customFormat="false" ht="15" hidden="false" customHeight="false" outlineLevel="0" collapsed="false">
      <c r="A14" s="4" t="s">
        <v>15</v>
      </c>
      <c r="B14" s="3" t="n">
        <f aca="false">COUNTIF(Tooltips!K2:K217,"Check")</f>
        <v>2</v>
      </c>
    </row>
    <row r="15" customFormat="false" ht="15" hidden="false" customHeight="false" outlineLevel="0" collapsed="false">
      <c r="A15" s="4" t="s">
        <v>16</v>
      </c>
      <c r="B15" s="3" t="n">
        <f aca="false">COUNTIF(Tooltips!K2:K217,"Never shows")</f>
        <v>2</v>
      </c>
    </row>
    <row r="16" customFormat="false" ht="15" hidden="false" customHeight="false" outlineLevel="0" collapsed="false">
      <c r="A16" s="4" t="s">
        <v>17</v>
      </c>
      <c r="B16" s="3" t="n">
        <f aca="false">COUNTIF(Tooltips!I2:I217,"&lt;=2")</f>
        <v>14</v>
      </c>
    </row>
    <row r="17" customFormat="false" ht="15" hidden="false" customHeight="false" outlineLevel="0" collapsed="false">
      <c r="A17" s="4" t="s">
        <v>18</v>
      </c>
      <c r="B17" s="3" t="n">
        <f aca="false">COUNTIF(Tooltips!J2:J217,"&lt;=2")</f>
        <v>41</v>
      </c>
    </row>
    <row r="18" customFormat="false" ht="23.85" hidden="false" customHeight="false" outlineLevel="0" collapsed="false">
      <c r="A18" s="4" t="s">
        <v>19</v>
      </c>
      <c r="B18" s="3" t="n">
        <f aca="false">COUNTIFS(Tooltips!J2:J217,"&gt;=4",Tooltips!I2:I217,"&lt;=3")</f>
        <v>41</v>
      </c>
    </row>
    <row r="19" customFormat="false" ht="15" hidden="false" customHeight="false" outlineLevel="0" collapsed="false">
      <c r="A19" s="4" t="s">
        <v>20</v>
      </c>
      <c r="B19" s="3" t="n">
        <f aca="false">ROUND(AVERAGE(Tooltips!I2:I217),1)</f>
        <v>4.2</v>
      </c>
    </row>
    <row r="20" customFormat="false" ht="15" hidden="false" customHeight="false" outlineLevel="0" collapsed="false">
      <c r="A20" s="4" t="s">
        <v>21</v>
      </c>
      <c r="B20" s="3" t="n">
        <f aca="false">ROUND(AVERAGE(Tooltips!J2:J217),1)</f>
        <v>3.8</v>
      </c>
    </row>
    <row r="21" customFormat="false" ht="23.85" hidden="false" customHeight="false" outlineLevel="0" collapsed="false">
      <c r="A21" s="4" t="s">
        <v>22</v>
      </c>
      <c r="B21" s="3" t="n">
        <f aca="false">COUNTIF(Tooltips!E2:E217,"Never shown")</f>
        <v>9</v>
      </c>
    </row>
    <row r="22" customFormat="false" ht="15" hidden="false" customHeight="false" outlineLevel="0" collapsed="false">
      <c r="A22" s="4"/>
      <c r="B22" s="3"/>
    </row>
    <row r="23" customFormat="false" ht="15" hidden="false" customHeight="false" outlineLevel="0" collapsed="false">
      <c r="A23" s="4" t="s">
        <v>23</v>
      </c>
      <c r="B23" s="3" t="s">
        <v>24</v>
      </c>
    </row>
    <row r="24" customFormat="false" ht="15" hidden="false" customHeight="false" outlineLevel="0" collapsed="false">
      <c r="A24" s="4" t="s">
        <v>25</v>
      </c>
      <c r="B24" s="3" t="s">
        <v>26</v>
      </c>
    </row>
    <row r="25" customFormat="false" ht="15" hidden="false" customHeight="false" outlineLevel="0" collapsed="false">
      <c r="A25" s="4" t="s">
        <v>27</v>
      </c>
      <c r="B25" s="3" t="s">
        <v>28</v>
      </c>
    </row>
    <row r="26" customFormat="false" ht="15" hidden="false" customHeight="false" outlineLevel="0" collapsed="false">
      <c r="A26" s="4" t="s">
        <v>29</v>
      </c>
      <c r="B26" s="3" t="s">
        <v>30</v>
      </c>
    </row>
    <row r="27" customFormat="false" ht="15" hidden="false" customHeight="false" outlineLevel="0" collapsed="false">
      <c r="A27" s="4" t="s">
        <v>31</v>
      </c>
      <c r="B27" s="3" t="s">
        <v>32</v>
      </c>
    </row>
    <row r="28" customFormat="false" ht="15" hidden="false" customHeight="false" outlineLevel="0" collapsed="false">
      <c r="A28" s="4" t="s">
        <v>33</v>
      </c>
      <c r="B28" s="3" t="s">
        <v>34</v>
      </c>
    </row>
    <row r="29" customFormat="false" ht="15" hidden="false" customHeight="false" outlineLevel="0" collapsed="false">
      <c r="A29" s="4"/>
      <c r="B29" s="3"/>
    </row>
    <row r="30" customFormat="false" ht="15" hidden="false" customHeight="false" outlineLevel="0" collapsed="false">
      <c r="A30" s="4" t="s">
        <v>35</v>
      </c>
      <c r="B30" s="3" t="s">
        <v>36</v>
      </c>
    </row>
    <row r="31" customFormat="false" ht="15" hidden="false" customHeight="false" outlineLevel="0" collapsed="false">
      <c r="A31" s="4" t="s">
        <v>25</v>
      </c>
      <c r="B31" s="3" t="s">
        <v>37</v>
      </c>
    </row>
    <row r="32" customFormat="false" ht="15" hidden="false" customHeight="false" outlineLevel="0" collapsed="false">
      <c r="A32" s="4" t="s">
        <v>27</v>
      </c>
      <c r="B32" s="3" t="s">
        <v>38</v>
      </c>
    </row>
    <row r="33" customFormat="false" ht="15" hidden="false" customHeight="false" outlineLevel="0" collapsed="false">
      <c r="A33" s="4" t="s">
        <v>29</v>
      </c>
      <c r="B33" s="3" t="s">
        <v>39</v>
      </c>
    </row>
    <row r="34" customFormat="false" ht="15" hidden="false" customHeight="false" outlineLevel="0" collapsed="false">
      <c r="A34" s="4" t="s">
        <v>31</v>
      </c>
      <c r="B34" s="3" t="s">
        <v>40</v>
      </c>
    </row>
    <row r="35" customFormat="false" ht="15" hidden="false" customHeight="false" outlineLevel="0" collapsed="false">
      <c r="A35" s="4" t="s">
        <v>33</v>
      </c>
      <c r="B35" s="3" t="s">
        <v>41</v>
      </c>
    </row>
    <row r="36" customFormat="false" ht="15" hidden="false" customHeight="false" outlineLevel="0" collapsed="false">
      <c r="A36" s="4"/>
      <c r="B36" s="3"/>
    </row>
    <row r="37" customFormat="false" ht="15" hidden="false" customHeight="false" outlineLevel="0" collapsed="false">
      <c r="A37" s="4" t="s">
        <v>42</v>
      </c>
      <c r="B37" s="3"/>
    </row>
    <row r="38" customFormat="false" ht="15" hidden="false" customHeight="false" outlineLevel="0" collapsed="false">
      <c r="A38" s="4" t="s">
        <v>12</v>
      </c>
      <c r="B38" s="3" t="s">
        <v>43</v>
      </c>
    </row>
    <row r="39" customFormat="false" ht="15" hidden="false" customHeight="false" outlineLevel="0" collapsed="false">
      <c r="A39" s="4" t="s">
        <v>13</v>
      </c>
      <c r="B39" s="3" t="s">
        <v>44</v>
      </c>
    </row>
    <row r="40" customFormat="false" ht="15" hidden="false" customHeight="false" outlineLevel="0" collapsed="false">
      <c r="A40" s="4" t="s">
        <v>14</v>
      </c>
      <c r="B40" s="3" t="s">
        <v>45</v>
      </c>
    </row>
    <row r="41" customFormat="false" ht="15" hidden="false" customHeight="false" outlineLevel="0" collapsed="false">
      <c r="A41" s="4" t="s">
        <v>15</v>
      </c>
      <c r="B41" s="3" t="s">
        <v>46</v>
      </c>
    </row>
    <row r="42" customFormat="false" ht="15" hidden="false" customHeight="false" outlineLevel="0" collapsed="false">
      <c r="A42" s="4" t="s">
        <v>16</v>
      </c>
      <c r="B42" s="3" t="s">
        <v>47</v>
      </c>
    </row>
    <row r="43" customFormat="false" ht="15" hidden="false" customHeight="false" outlineLevel="0" collapsed="false">
      <c r="A43" s="4"/>
      <c r="B43" s="3"/>
    </row>
    <row r="44" customFormat="false" ht="15" hidden="false" customHeight="false" outlineLevel="0" collapsed="false">
      <c r="A44" s="4" t="s">
        <v>48</v>
      </c>
      <c r="B44" s="3"/>
    </row>
    <row r="45" customFormat="false" ht="23.85" hidden="false" customHeight="false" outlineLevel="0" collapsed="false">
      <c r="A45" s="4" t="s">
        <v>49</v>
      </c>
      <c r="B45" s="3" t="s">
        <v>50</v>
      </c>
    </row>
    <row r="46" customFormat="false" ht="15" hidden="false" customHeight="false" outlineLevel="0" collapsed="false">
      <c r="A46" s="4" t="s">
        <v>51</v>
      </c>
      <c r="B46" s="3" t="s">
        <v>52</v>
      </c>
    </row>
    <row r="47" customFormat="false" ht="15" hidden="false" customHeight="false" outlineLevel="0" collapsed="false">
      <c r="A47" s="4" t="s">
        <v>53</v>
      </c>
      <c r="B47" s="3" t="s">
        <v>54</v>
      </c>
    </row>
    <row r="48" customFormat="false" ht="15" hidden="false" customHeight="false" outlineLevel="0" collapsed="false">
      <c r="A48" s="4" t="s">
        <v>55</v>
      </c>
      <c r="B48" s="3" t="s">
        <v>56</v>
      </c>
    </row>
    <row r="49" customFormat="false" ht="15" hidden="false" customHeight="false" outlineLevel="0" collapsed="false">
      <c r="A49" s="4" t="s">
        <v>57</v>
      </c>
      <c r="B49" s="3" t="s">
        <v>58</v>
      </c>
    </row>
    <row r="50" customFormat="false" ht="15" hidden="false" customHeight="false" outlineLevel="0" collapsed="false">
      <c r="A50" s="4" t="s">
        <v>59</v>
      </c>
      <c r="B50" s="3" t="s">
        <v>60</v>
      </c>
    </row>
    <row r="51" customFormat="false" ht="15" hidden="false" customHeight="false" outlineLevel="0" collapsed="false">
      <c r="A51" s="4"/>
      <c r="B51" s="3"/>
    </row>
    <row r="52" customFormat="false" ht="23.85" hidden="false" customHeight="false" outlineLevel="0" collapsed="false">
      <c r="A52" s="4" t="s">
        <v>61</v>
      </c>
      <c r="B52" s="3" t="s">
        <v>62</v>
      </c>
    </row>
    <row r="53" customFormat="false" ht="23.85" hidden="false" customHeight="false" outlineLevel="0" collapsed="false">
      <c r="A53" s="4" t="s">
        <v>63</v>
      </c>
      <c r="B53" s="3" t="s">
        <v>64</v>
      </c>
    </row>
    <row r="54" customFormat="false" ht="23.85" hidden="false" customHeight="false" outlineLevel="0" collapsed="false">
      <c r="A54" s="4" t="s">
        <v>65</v>
      </c>
      <c r="B54" s="3" t="s">
        <v>66</v>
      </c>
    </row>
    <row r="55" customFormat="false" ht="15" hidden="false" customHeight="false" outlineLevel="0" collapsed="false">
      <c r="A55" s="4" t="s">
        <v>67</v>
      </c>
      <c r="B55" s="3"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O2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80" activeCellId="0" sqref="K80"/>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6"/>
    <col collapsed="false" customWidth="true" hidden="false" outlineLevel="0" max="4" min="4" style="1" width="28"/>
    <col collapsed="false" customWidth="true" hidden="false" outlineLevel="0" max="5" min="5" style="1" width="16"/>
    <col collapsed="false" customWidth="true" hidden="false" outlineLevel="0" max="6" min="6" style="1" width="46"/>
    <col collapsed="false" customWidth="true" hidden="false" outlineLevel="0" max="7" min="7" style="1" width="34"/>
    <col collapsed="false" customWidth="true" hidden="false" outlineLevel="0" max="8" min="8" style="1" width="8"/>
    <col collapsed="false" customWidth="true" hidden="false" outlineLevel="0" max="10" min="9" style="1" width="10"/>
    <col collapsed="false" customWidth="true" hidden="false" outlineLevel="0" max="11" min="11" style="1" width="12"/>
    <col collapsed="false" customWidth="true" hidden="false" outlineLevel="0" max="12" min="12" style="1" width="60"/>
    <col collapsed="false" customWidth="true" hidden="false" outlineLevel="0" max="13" min="13" style="1" width="46"/>
    <col collapsed="false" customWidth="true" hidden="false" outlineLevel="0" max="14" min="14" style="1" width="30"/>
    <col collapsed="false" customWidth="true" hidden="false" outlineLevel="0" max="15" min="15" style="1" width="12"/>
  </cols>
  <sheetData>
    <row r="1" customFormat="false" ht="30" hidden="false" customHeight="true" outlineLevel="0" collapsed="false">
      <c r="A1" s="5" t="s">
        <v>69</v>
      </c>
      <c r="B1" s="5" t="s">
        <v>70</v>
      </c>
      <c r="C1" s="5" t="s">
        <v>71</v>
      </c>
      <c r="D1" s="5" t="s">
        <v>72</v>
      </c>
      <c r="E1" s="5" t="s">
        <v>49</v>
      </c>
      <c r="F1" s="5" t="s">
        <v>51</v>
      </c>
      <c r="G1" s="5" t="s">
        <v>53</v>
      </c>
      <c r="H1" s="5" t="s">
        <v>73</v>
      </c>
      <c r="I1" s="5" t="s">
        <v>23</v>
      </c>
      <c r="J1" s="5" t="s">
        <v>35</v>
      </c>
      <c r="K1" s="5" t="s">
        <v>42</v>
      </c>
      <c r="L1" s="5" t="s">
        <v>74</v>
      </c>
      <c r="M1" s="5" t="s">
        <v>55</v>
      </c>
      <c r="N1" s="5" t="s">
        <v>75</v>
      </c>
      <c r="O1" s="5" t="s">
        <v>59</v>
      </c>
    </row>
    <row r="2" customFormat="false" ht="23.85" hidden="false" customHeight="false" outlineLevel="0" collapsed="false">
      <c r="A2" s="6" t="n">
        <v>10</v>
      </c>
      <c r="B2" s="7" t="s">
        <v>76</v>
      </c>
      <c r="C2" s="7" t="s">
        <v>77</v>
      </c>
      <c r="D2" s="7" t="s">
        <v>78</v>
      </c>
      <c r="E2" s="7" t="s">
        <v>79</v>
      </c>
      <c r="F2" s="7" t="s">
        <v>80</v>
      </c>
      <c r="G2" s="7" t="s">
        <v>81</v>
      </c>
      <c r="H2" s="6" t="n">
        <f aca="false">LEN(F2)</f>
        <v>10</v>
      </c>
      <c r="I2" s="6" t="n">
        <v>5</v>
      </c>
      <c r="J2" s="6" t="n">
        <v>5</v>
      </c>
      <c r="K2" s="7" t="s">
        <v>12</v>
      </c>
      <c r="L2" s="7" t="s">
        <v>82</v>
      </c>
      <c r="M2" s="7"/>
      <c r="N2" s="7" t="s">
        <v>83</v>
      </c>
      <c r="O2" s="7" t="s">
        <v>84</v>
      </c>
    </row>
    <row r="3" customFormat="false" ht="35.05" hidden="false" customHeight="false" outlineLevel="0" collapsed="false">
      <c r="A3" s="6" t="n">
        <v>14</v>
      </c>
      <c r="B3" s="7" t="s">
        <v>76</v>
      </c>
      <c r="C3" s="7" t="s">
        <v>85</v>
      </c>
      <c r="D3" s="7" t="s">
        <v>86</v>
      </c>
      <c r="E3" s="7" t="s">
        <v>79</v>
      </c>
      <c r="F3" s="7" t="s">
        <v>87</v>
      </c>
      <c r="G3" s="7"/>
      <c r="H3" s="6" t="n">
        <f aca="false">LEN(F3)</f>
        <v>43</v>
      </c>
      <c r="I3" s="6" t="n">
        <v>3</v>
      </c>
      <c r="J3" s="6" t="n">
        <v>5</v>
      </c>
      <c r="K3" s="7" t="s">
        <v>13</v>
      </c>
      <c r="L3" s="7" t="s">
        <v>88</v>
      </c>
      <c r="M3" s="7" t="s">
        <v>89</v>
      </c>
      <c r="N3" s="7" t="s">
        <v>90</v>
      </c>
      <c r="O3" s="7" t="s">
        <v>91</v>
      </c>
    </row>
    <row r="4" customFormat="false" ht="23.85" hidden="false" customHeight="false" outlineLevel="0" collapsed="false">
      <c r="A4" s="6" t="n">
        <v>15</v>
      </c>
      <c r="B4" s="7" t="s">
        <v>76</v>
      </c>
      <c r="C4" s="7" t="s">
        <v>85</v>
      </c>
      <c r="D4" s="7" t="s">
        <v>92</v>
      </c>
      <c r="E4" s="7" t="s">
        <v>79</v>
      </c>
      <c r="F4" s="7" t="s">
        <v>93</v>
      </c>
      <c r="G4" s="7"/>
      <c r="H4" s="6" t="n">
        <f aca="false">LEN(F4)</f>
        <v>48</v>
      </c>
      <c r="I4" s="6" t="n">
        <v>5</v>
      </c>
      <c r="J4" s="6" t="n">
        <v>5</v>
      </c>
      <c r="K4" s="7" t="s">
        <v>12</v>
      </c>
      <c r="L4" s="7" t="s">
        <v>94</v>
      </c>
      <c r="M4" s="7"/>
      <c r="N4" s="7" t="s">
        <v>90</v>
      </c>
      <c r="O4" s="7" t="s">
        <v>95</v>
      </c>
    </row>
    <row r="5" customFormat="false" ht="35.05" hidden="false" customHeight="false" outlineLevel="0" collapsed="false">
      <c r="A5" s="6" t="n">
        <v>16</v>
      </c>
      <c r="B5" s="7" t="s">
        <v>76</v>
      </c>
      <c r="C5" s="7" t="s">
        <v>85</v>
      </c>
      <c r="D5" s="7" t="s">
        <v>96</v>
      </c>
      <c r="E5" s="7" t="s">
        <v>97</v>
      </c>
      <c r="F5" s="7" t="s">
        <v>98</v>
      </c>
      <c r="G5" s="7" t="s">
        <v>99</v>
      </c>
      <c r="H5" s="6" t="n">
        <f aca="false">LEN(F5)</f>
        <v>84</v>
      </c>
      <c r="I5" s="6" t="n">
        <v>4</v>
      </c>
      <c r="J5" s="6" t="n">
        <v>5</v>
      </c>
      <c r="K5" s="7" t="s">
        <v>13</v>
      </c>
      <c r="L5" s="7" t="s">
        <v>100</v>
      </c>
      <c r="M5" s="7" t="s">
        <v>101</v>
      </c>
      <c r="N5" s="7" t="s">
        <v>90</v>
      </c>
      <c r="O5" s="7" t="s">
        <v>102</v>
      </c>
    </row>
    <row r="6" customFormat="false" ht="35.05" hidden="false" customHeight="false" outlineLevel="0" collapsed="false">
      <c r="A6" s="6" t="n">
        <v>19</v>
      </c>
      <c r="B6" s="7" t="s">
        <v>76</v>
      </c>
      <c r="C6" s="7" t="s">
        <v>103</v>
      </c>
      <c r="D6" s="7" t="s">
        <v>104</v>
      </c>
      <c r="E6" s="7" t="s">
        <v>79</v>
      </c>
      <c r="F6" s="7" t="s">
        <v>105</v>
      </c>
      <c r="G6" s="7" t="s">
        <v>106</v>
      </c>
      <c r="H6" s="6" t="n">
        <f aca="false">LEN(F6)</f>
        <v>88</v>
      </c>
      <c r="I6" s="6" t="n">
        <v>3</v>
      </c>
      <c r="J6" s="6" t="n">
        <v>5</v>
      </c>
      <c r="K6" s="7" t="s">
        <v>13</v>
      </c>
      <c r="L6" s="7" t="s">
        <v>107</v>
      </c>
      <c r="M6" s="7" t="s">
        <v>108</v>
      </c>
      <c r="N6" s="7" t="s">
        <v>90</v>
      </c>
      <c r="O6" s="7" t="s">
        <v>109</v>
      </c>
    </row>
    <row r="7" customFormat="false" ht="23.85" hidden="false" customHeight="false" outlineLevel="0" collapsed="false">
      <c r="A7" s="6" t="n">
        <v>20</v>
      </c>
      <c r="B7" s="7" t="s">
        <v>76</v>
      </c>
      <c r="C7" s="7" t="s">
        <v>110</v>
      </c>
      <c r="D7" s="7" t="s">
        <v>111</v>
      </c>
      <c r="E7" s="7" t="s">
        <v>79</v>
      </c>
      <c r="F7" s="7" t="s">
        <v>112</v>
      </c>
      <c r="G7" s="7"/>
      <c r="H7" s="6" t="n">
        <f aca="false">LEN(F7)</f>
        <v>43</v>
      </c>
      <c r="I7" s="6" t="n">
        <v>3</v>
      </c>
      <c r="J7" s="6" t="n">
        <v>5</v>
      </c>
      <c r="K7" s="7" t="s">
        <v>12</v>
      </c>
      <c r="L7" s="7" t="s">
        <v>113</v>
      </c>
      <c r="M7" s="7"/>
      <c r="N7" s="7" t="s">
        <v>114</v>
      </c>
      <c r="O7" s="7" t="s">
        <v>115</v>
      </c>
    </row>
    <row r="8" customFormat="false" ht="23.85" hidden="false" customHeight="false" outlineLevel="0" collapsed="false">
      <c r="A8" s="6" t="n">
        <v>21</v>
      </c>
      <c r="B8" s="7" t="s">
        <v>76</v>
      </c>
      <c r="C8" s="7" t="s">
        <v>110</v>
      </c>
      <c r="D8" s="7" t="s">
        <v>116</v>
      </c>
      <c r="E8" s="7" t="s">
        <v>79</v>
      </c>
      <c r="F8" s="7" t="s">
        <v>117</v>
      </c>
      <c r="G8" s="7"/>
      <c r="H8" s="6" t="n">
        <f aca="false">LEN(F8)</f>
        <v>31</v>
      </c>
      <c r="I8" s="6" t="n">
        <v>3</v>
      </c>
      <c r="J8" s="6" t="n">
        <v>5</v>
      </c>
      <c r="K8" s="7" t="s">
        <v>13</v>
      </c>
      <c r="L8" s="7" t="s">
        <v>118</v>
      </c>
      <c r="M8" s="7" t="s">
        <v>119</v>
      </c>
      <c r="N8" s="7" t="s">
        <v>114</v>
      </c>
      <c r="O8" s="7" t="s">
        <v>120</v>
      </c>
    </row>
    <row r="9" customFormat="false" ht="23.85" hidden="false" customHeight="false" outlineLevel="0" collapsed="false">
      <c r="A9" s="6" t="n">
        <v>22</v>
      </c>
      <c r="B9" s="7" t="s">
        <v>76</v>
      </c>
      <c r="C9" s="7" t="s">
        <v>110</v>
      </c>
      <c r="D9" s="7" t="s">
        <v>121</v>
      </c>
      <c r="E9" s="7" t="s">
        <v>79</v>
      </c>
      <c r="F9" s="7" t="s">
        <v>122</v>
      </c>
      <c r="G9" s="7"/>
      <c r="H9" s="6" t="n">
        <f aca="false">LEN(F9)</f>
        <v>60</v>
      </c>
      <c r="I9" s="6" t="n">
        <v>3</v>
      </c>
      <c r="J9" s="6" t="n">
        <v>5</v>
      </c>
      <c r="K9" s="7" t="s">
        <v>13</v>
      </c>
      <c r="L9" s="7" t="s">
        <v>123</v>
      </c>
      <c r="M9" s="7" t="s">
        <v>124</v>
      </c>
      <c r="N9" s="7" t="s">
        <v>114</v>
      </c>
      <c r="O9" s="7" t="s">
        <v>125</v>
      </c>
    </row>
    <row r="10" customFormat="false" ht="23.85" hidden="false" customHeight="false" outlineLevel="0" collapsed="false">
      <c r="A10" s="6" t="n">
        <v>23</v>
      </c>
      <c r="B10" s="7" t="s">
        <v>76</v>
      </c>
      <c r="C10" s="7" t="s">
        <v>110</v>
      </c>
      <c r="D10" s="7" t="s">
        <v>126</v>
      </c>
      <c r="E10" s="7" t="s">
        <v>79</v>
      </c>
      <c r="F10" s="7" t="s">
        <v>127</v>
      </c>
      <c r="G10" s="7"/>
      <c r="H10" s="6" t="n">
        <f aca="false">LEN(F10)</f>
        <v>62</v>
      </c>
      <c r="I10" s="6" t="n">
        <v>5</v>
      </c>
      <c r="J10" s="6" t="n">
        <v>5</v>
      </c>
      <c r="K10" s="7" t="s">
        <v>12</v>
      </c>
      <c r="L10" s="7" t="s">
        <v>128</v>
      </c>
      <c r="M10" s="7"/>
      <c r="N10" s="7" t="s">
        <v>114</v>
      </c>
      <c r="O10" s="7" t="s">
        <v>129</v>
      </c>
    </row>
    <row r="11" customFormat="false" ht="23.85" hidden="false" customHeight="false" outlineLevel="0" collapsed="false">
      <c r="A11" s="6" t="n">
        <v>24</v>
      </c>
      <c r="B11" s="7" t="s">
        <v>76</v>
      </c>
      <c r="C11" s="7" t="s">
        <v>110</v>
      </c>
      <c r="D11" s="7" t="s">
        <v>130</v>
      </c>
      <c r="E11" s="7" t="s">
        <v>79</v>
      </c>
      <c r="F11" s="7" t="s">
        <v>131</v>
      </c>
      <c r="G11" s="7"/>
      <c r="H11" s="6" t="n">
        <f aca="false">LEN(F11)</f>
        <v>37</v>
      </c>
      <c r="I11" s="6" t="n">
        <v>4</v>
      </c>
      <c r="J11" s="6" t="n">
        <v>5</v>
      </c>
      <c r="K11" s="7" t="s">
        <v>13</v>
      </c>
      <c r="L11" s="7" t="s">
        <v>132</v>
      </c>
      <c r="M11" s="7" t="s">
        <v>133</v>
      </c>
      <c r="N11" s="7" t="s">
        <v>114</v>
      </c>
      <c r="O11" s="7" t="s">
        <v>134</v>
      </c>
    </row>
    <row r="12" customFormat="false" ht="35.05" hidden="false" customHeight="false" outlineLevel="0" collapsed="false">
      <c r="A12" s="6" t="n">
        <v>25</v>
      </c>
      <c r="B12" s="7" t="s">
        <v>76</v>
      </c>
      <c r="C12" s="7" t="s">
        <v>110</v>
      </c>
      <c r="D12" s="7" t="s">
        <v>135</v>
      </c>
      <c r="E12" s="7" t="s">
        <v>79</v>
      </c>
      <c r="F12" s="7" t="s">
        <v>136</v>
      </c>
      <c r="G12" s="7"/>
      <c r="H12" s="6" t="n">
        <f aca="false">LEN(F12)</f>
        <v>42</v>
      </c>
      <c r="I12" s="6" t="n">
        <v>3</v>
      </c>
      <c r="J12" s="6" t="n">
        <v>5</v>
      </c>
      <c r="K12" s="7" t="s">
        <v>15</v>
      </c>
      <c r="L12" s="7" t="s">
        <v>137</v>
      </c>
      <c r="M12" s="7" t="s">
        <v>138</v>
      </c>
      <c r="N12" s="7" t="s">
        <v>114</v>
      </c>
      <c r="O12" s="7" t="s">
        <v>139</v>
      </c>
    </row>
    <row r="13" customFormat="false" ht="23.85" hidden="false" customHeight="false" outlineLevel="0" collapsed="false">
      <c r="A13" s="6" t="n">
        <v>26</v>
      </c>
      <c r="B13" s="7" t="s">
        <v>76</v>
      </c>
      <c r="C13" s="7" t="s">
        <v>110</v>
      </c>
      <c r="D13" s="7" t="s">
        <v>140</v>
      </c>
      <c r="E13" s="7" t="s">
        <v>79</v>
      </c>
      <c r="F13" s="7" t="s">
        <v>141</v>
      </c>
      <c r="G13" s="7" t="s">
        <v>142</v>
      </c>
      <c r="H13" s="6" t="n">
        <f aca="false">LEN(F13)</f>
        <v>42</v>
      </c>
      <c r="I13" s="6" t="n">
        <v>3</v>
      </c>
      <c r="J13" s="6" t="n">
        <v>5</v>
      </c>
      <c r="K13" s="7" t="s">
        <v>13</v>
      </c>
      <c r="L13" s="7" t="s">
        <v>143</v>
      </c>
      <c r="M13" s="7" t="s">
        <v>144</v>
      </c>
      <c r="N13" s="7" t="s">
        <v>114</v>
      </c>
      <c r="O13" s="7" t="s">
        <v>145</v>
      </c>
    </row>
    <row r="14" customFormat="false" ht="23.85" hidden="false" customHeight="false" outlineLevel="0" collapsed="false">
      <c r="A14" s="6" t="n">
        <v>34</v>
      </c>
      <c r="B14" s="7" t="s">
        <v>146</v>
      </c>
      <c r="C14" s="7" t="s">
        <v>147</v>
      </c>
      <c r="D14" s="7" t="s">
        <v>148</v>
      </c>
      <c r="E14" s="7" t="s">
        <v>79</v>
      </c>
      <c r="F14" s="7" t="s">
        <v>149</v>
      </c>
      <c r="G14" s="7"/>
      <c r="H14" s="6" t="n">
        <f aca="false">LEN(F14)</f>
        <v>44</v>
      </c>
      <c r="I14" s="6" t="n">
        <v>5</v>
      </c>
      <c r="J14" s="6" t="n">
        <v>5</v>
      </c>
      <c r="K14" s="7" t="s">
        <v>12</v>
      </c>
      <c r="L14" s="7" t="s">
        <v>150</v>
      </c>
      <c r="M14" s="7"/>
      <c r="N14" s="7" t="s">
        <v>151</v>
      </c>
      <c r="O14" s="7" t="s">
        <v>152</v>
      </c>
    </row>
    <row r="15" customFormat="false" ht="15" hidden="false" customHeight="false" outlineLevel="0" collapsed="false">
      <c r="A15" s="6" t="n">
        <v>36</v>
      </c>
      <c r="B15" s="7" t="s">
        <v>146</v>
      </c>
      <c r="C15" s="7" t="s">
        <v>153</v>
      </c>
      <c r="D15" s="7" t="s">
        <v>148</v>
      </c>
      <c r="E15" s="7" t="s">
        <v>79</v>
      </c>
      <c r="F15" s="7" t="s">
        <v>154</v>
      </c>
      <c r="G15" s="7"/>
      <c r="H15" s="6" t="n">
        <f aca="false">LEN(F15)</f>
        <v>52</v>
      </c>
      <c r="I15" s="6" t="n">
        <v>5</v>
      </c>
      <c r="J15" s="6" t="n">
        <v>5</v>
      </c>
      <c r="K15" s="7" t="s">
        <v>12</v>
      </c>
      <c r="L15" s="7" t="s">
        <v>155</v>
      </c>
      <c r="M15" s="7"/>
      <c r="N15" s="7" t="s">
        <v>151</v>
      </c>
      <c r="O15" s="7" t="s">
        <v>156</v>
      </c>
    </row>
    <row r="16" customFormat="false" ht="35.05" hidden="false" customHeight="false" outlineLevel="0" collapsed="false">
      <c r="A16" s="6" t="n">
        <v>56</v>
      </c>
      <c r="B16" s="7" t="s">
        <v>157</v>
      </c>
      <c r="C16" s="7" t="s">
        <v>158</v>
      </c>
      <c r="D16" s="7" t="s">
        <v>159</v>
      </c>
      <c r="E16" s="7" t="s">
        <v>79</v>
      </c>
      <c r="F16" s="7" t="s">
        <v>160</v>
      </c>
      <c r="G16" s="7" t="s">
        <v>161</v>
      </c>
      <c r="H16" s="6" t="n">
        <f aca="false">LEN(F16)</f>
        <v>29</v>
      </c>
      <c r="I16" s="6" t="n">
        <v>4</v>
      </c>
      <c r="J16" s="6" t="n">
        <v>5</v>
      </c>
      <c r="K16" s="7" t="s">
        <v>13</v>
      </c>
      <c r="L16" s="7" t="s">
        <v>162</v>
      </c>
      <c r="M16" s="7" t="s">
        <v>163</v>
      </c>
      <c r="N16" s="7" t="s">
        <v>164</v>
      </c>
      <c r="O16" s="7" t="s">
        <v>165</v>
      </c>
    </row>
    <row r="17" customFormat="false" ht="15" hidden="false" customHeight="false" outlineLevel="0" collapsed="false">
      <c r="A17" s="6" t="n">
        <v>57</v>
      </c>
      <c r="B17" s="7" t="s">
        <v>157</v>
      </c>
      <c r="C17" s="7" t="s">
        <v>158</v>
      </c>
      <c r="D17" s="7" t="s">
        <v>166</v>
      </c>
      <c r="E17" s="7" t="s">
        <v>79</v>
      </c>
      <c r="F17" s="7" t="s">
        <v>167</v>
      </c>
      <c r="G17" s="7" t="s">
        <v>168</v>
      </c>
      <c r="H17" s="6" t="n">
        <f aca="false">LEN(F17)</f>
        <v>33</v>
      </c>
      <c r="I17" s="6" t="n">
        <v>4</v>
      </c>
      <c r="J17" s="6" t="n">
        <v>5</v>
      </c>
      <c r="K17" s="7" t="s">
        <v>13</v>
      </c>
      <c r="L17" s="7" t="s">
        <v>169</v>
      </c>
      <c r="M17" s="7" t="s">
        <v>170</v>
      </c>
      <c r="N17" s="7" t="s">
        <v>164</v>
      </c>
      <c r="O17" s="7" t="s">
        <v>165</v>
      </c>
    </row>
    <row r="18" customFormat="false" ht="23.85" hidden="false" customHeight="false" outlineLevel="0" collapsed="false">
      <c r="A18" s="6" t="n">
        <v>58</v>
      </c>
      <c r="B18" s="7" t="s">
        <v>157</v>
      </c>
      <c r="C18" s="7" t="s">
        <v>171</v>
      </c>
      <c r="D18" s="7" t="s">
        <v>172</v>
      </c>
      <c r="E18" s="7" t="s">
        <v>79</v>
      </c>
      <c r="F18" s="7" t="s">
        <v>173</v>
      </c>
      <c r="G18" s="7" t="s">
        <v>174</v>
      </c>
      <c r="H18" s="6" t="n">
        <f aca="false">LEN(F18)</f>
        <v>31</v>
      </c>
      <c r="I18" s="6" t="n">
        <v>5</v>
      </c>
      <c r="J18" s="6" t="n">
        <v>5</v>
      </c>
      <c r="K18" s="7" t="s">
        <v>12</v>
      </c>
      <c r="L18" s="7" t="s">
        <v>175</v>
      </c>
      <c r="M18" s="7"/>
      <c r="N18" s="7" t="s">
        <v>164</v>
      </c>
      <c r="O18" s="7" t="s">
        <v>176</v>
      </c>
    </row>
    <row r="19" customFormat="false" ht="23.85" hidden="false" customHeight="false" outlineLevel="0" collapsed="false">
      <c r="A19" s="6" t="n">
        <v>59</v>
      </c>
      <c r="B19" s="7" t="s">
        <v>157</v>
      </c>
      <c r="C19" s="7" t="s">
        <v>177</v>
      </c>
      <c r="D19" s="7" t="s">
        <v>178</v>
      </c>
      <c r="E19" s="7" t="s">
        <v>79</v>
      </c>
      <c r="F19" s="7" t="s">
        <v>179</v>
      </c>
      <c r="G19" s="7" t="s">
        <v>180</v>
      </c>
      <c r="H19" s="6" t="n">
        <f aca="false">LEN(F19)</f>
        <v>22</v>
      </c>
      <c r="I19" s="6" t="n">
        <v>5</v>
      </c>
      <c r="J19" s="6" t="n">
        <v>5</v>
      </c>
      <c r="K19" s="7" t="s">
        <v>12</v>
      </c>
      <c r="L19" s="7" t="s">
        <v>181</v>
      </c>
      <c r="M19" s="7"/>
      <c r="N19" s="7" t="s">
        <v>164</v>
      </c>
      <c r="O19" s="7" t="s">
        <v>182</v>
      </c>
    </row>
    <row r="20" customFormat="false" ht="23.85" hidden="false" customHeight="false" outlineLevel="0" collapsed="false">
      <c r="A20" s="6" t="n">
        <v>61</v>
      </c>
      <c r="B20" s="7" t="s">
        <v>157</v>
      </c>
      <c r="C20" s="7" t="s">
        <v>183</v>
      </c>
      <c r="D20" s="7" t="s">
        <v>184</v>
      </c>
      <c r="E20" s="7" t="s">
        <v>79</v>
      </c>
      <c r="F20" s="7" t="s">
        <v>185</v>
      </c>
      <c r="G20" s="7" t="s">
        <v>186</v>
      </c>
      <c r="H20" s="6" t="n">
        <f aca="false">LEN(F20)</f>
        <v>28</v>
      </c>
      <c r="I20" s="6" t="n">
        <v>5</v>
      </c>
      <c r="J20" s="6" t="n">
        <v>5</v>
      </c>
      <c r="K20" s="7" t="s">
        <v>12</v>
      </c>
      <c r="L20" s="7" t="s">
        <v>187</v>
      </c>
      <c r="M20" s="7"/>
      <c r="N20" s="7" t="s">
        <v>164</v>
      </c>
      <c r="O20" s="7" t="s">
        <v>188</v>
      </c>
    </row>
    <row r="21" customFormat="false" ht="23.85" hidden="false" customHeight="false" outlineLevel="0" collapsed="false">
      <c r="A21" s="6" t="n">
        <v>62</v>
      </c>
      <c r="B21" s="7" t="s">
        <v>157</v>
      </c>
      <c r="C21" s="7" t="s">
        <v>183</v>
      </c>
      <c r="D21" s="7" t="s">
        <v>189</v>
      </c>
      <c r="E21" s="7" t="s">
        <v>97</v>
      </c>
      <c r="F21" s="7" t="s">
        <v>190</v>
      </c>
      <c r="G21" s="7" t="s">
        <v>191</v>
      </c>
      <c r="H21" s="6" t="n">
        <f aca="false">LEN(F21)</f>
        <v>11</v>
      </c>
      <c r="I21" s="6" t="n">
        <v>5</v>
      </c>
      <c r="J21" s="6" t="n">
        <v>5</v>
      </c>
      <c r="K21" s="7" t="s">
        <v>12</v>
      </c>
      <c r="L21" s="7" t="s">
        <v>192</v>
      </c>
      <c r="M21" s="7"/>
      <c r="N21" s="7" t="s">
        <v>193</v>
      </c>
      <c r="O21" s="7" t="s">
        <v>194</v>
      </c>
    </row>
    <row r="22" customFormat="false" ht="23.85" hidden="false" customHeight="false" outlineLevel="0" collapsed="false">
      <c r="A22" s="6" t="n">
        <v>63</v>
      </c>
      <c r="B22" s="7" t="s">
        <v>157</v>
      </c>
      <c r="C22" s="7" t="s">
        <v>183</v>
      </c>
      <c r="D22" s="7" t="s">
        <v>189</v>
      </c>
      <c r="E22" s="7" t="s">
        <v>97</v>
      </c>
      <c r="F22" s="7" t="s">
        <v>195</v>
      </c>
      <c r="G22" s="7"/>
      <c r="H22" s="6" t="n">
        <f aca="false">LEN(F22)</f>
        <v>15</v>
      </c>
      <c r="I22" s="6" t="n">
        <v>3</v>
      </c>
      <c r="J22" s="6" t="n">
        <v>5</v>
      </c>
      <c r="K22" s="7" t="s">
        <v>13</v>
      </c>
      <c r="L22" s="7" t="s">
        <v>196</v>
      </c>
      <c r="M22" s="7" t="s">
        <v>197</v>
      </c>
      <c r="N22" s="7" t="s">
        <v>193</v>
      </c>
      <c r="O22" s="7" t="s">
        <v>198</v>
      </c>
    </row>
    <row r="23" customFormat="false" ht="23.85" hidden="false" customHeight="false" outlineLevel="0" collapsed="false">
      <c r="A23" s="6" t="n">
        <v>64</v>
      </c>
      <c r="B23" s="7" t="s">
        <v>199</v>
      </c>
      <c r="C23" s="7" t="s">
        <v>200</v>
      </c>
      <c r="D23" s="7" t="s">
        <v>189</v>
      </c>
      <c r="E23" s="7" t="s">
        <v>97</v>
      </c>
      <c r="F23" s="7" t="s">
        <v>201</v>
      </c>
      <c r="G23" s="7"/>
      <c r="H23" s="6" t="n">
        <f aca="false">LEN(F23)</f>
        <v>40</v>
      </c>
      <c r="I23" s="6" t="n">
        <v>5</v>
      </c>
      <c r="J23" s="6" t="n">
        <v>5</v>
      </c>
      <c r="K23" s="7" t="s">
        <v>12</v>
      </c>
      <c r="L23" s="7" t="s">
        <v>202</v>
      </c>
      <c r="M23" s="7"/>
      <c r="N23" s="7" t="s">
        <v>193</v>
      </c>
      <c r="O23" s="7" t="s">
        <v>203</v>
      </c>
    </row>
    <row r="24" customFormat="false" ht="23.85" hidden="false" customHeight="false" outlineLevel="0" collapsed="false">
      <c r="A24" s="6" t="n">
        <v>66</v>
      </c>
      <c r="B24" s="7" t="s">
        <v>157</v>
      </c>
      <c r="C24" s="7" t="s">
        <v>204</v>
      </c>
      <c r="D24" s="7" t="s">
        <v>205</v>
      </c>
      <c r="E24" s="7" t="s">
        <v>79</v>
      </c>
      <c r="F24" s="7" t="s">
        <v>206</v>
      </c>
      <c r="G24" s="7"/>
      <c r="H24" s="6" t="n">
        <f aca="false">LEN(F24)</f>
        <v>33</v>
      </c>
      <c r="I24" s="6" t="n">
        <v>3</v>
      </c>
      <c r="J24" s="6" t="n">
        <v>5</v>
      </c>
      <c r="K24" s="7" t="s">
        <v>13</v>
      </c>
      <c r="L24" s="7" t="s">
        <v>207</v>
      </c>
      <c r="M24" s="7" t="s">
        <v>208</v>
      </c>
      <c r="N24" s="7" t="s">
        <v>164</v>
      </c>
      <c r="O24" s="7" t="s">
        <v>209</v>
      </c>
    </row>
    <row r="25" customFormat="false" ht="23.85" hidden="false" customHeight="false" outlineLevel="0" collapsed="false">
      <c r="A25" s="6" t="n">
        <v>68</v>
      </c>
      <c r="B25" s="7" t="s">
        <v>157</v>
      </c>
      <c r="C25" s="7" t="s">
        <v>210</v>
      </c>
      <c r="D25" s="7" t="s">
        <v>211</v>
      </c>
      <c r="E25" s="7" t="s">
        <v>97</v>
      </c>
      <c r="F25" s="7" t="s">
        <v>212</v>
      </c>
      <c r="G25" s="7"/>
      <c r="H25" s="6" t="n">
        <f aca="false">LEN(F25)</f>
        <v>16</v>
      </c>
      <c r="I25" s="6" t="n">
        <v>5</v>
      </c>
      <c r="J25" s="6" t="n">
        <v>5</v>
      </c>
      <c r="K25" s="7" t="s">
        <v>12</v>
      </c>
      <c r="L25" s="7" t="s">
        <v>213</v>
      </c>
      <c r="M25" s="7"/>
      <c r="N25" s="7" t="s">
        <v>164</v>
      </c>
      <c r="O25" s="7" t="s">
        <v>214</v>
      </c>
    </row>
    <row r="26" customFormat="false" ht="46.25" hidden="false" customHeight="false" outlineLevel="0" collapsed="false">
      <c r="A26" s="6" t="n">
        <v>70</v>
      </c>
      <c r="B26" s="7" t="s">
        <v>157</v>
      </c>
      <c r="C26" s="7" t="s">
        <v>183</v>
      </c>
      <c r="D26" s="7" t="s">
        <v>215</v>
      </c>
      <c r="E26" s="7" t="s">
        <v>79</v>
      </c>
      <c r="F26" s="7" t="s">
        <v>216</v>
      </c>
      <c r="G26" s="7"/>
      <c r="H26" s="6" t="n">
        <f aca="false">LEN(F26)</f>
        <v>33</v>
      </c>
      <c r="I26" s="6" t="n">
        <v>2</v>
      </c>
      <c r="J26" s="6" t="n">
        <v>5</v>
      </c>
      <c r="K26" s="7" t="s">
        <v>13</v>
      </c>
      <c r="L26" s="7" t="s">
        <v>217</v>
      </c>
      <c r="M26" s="7" t="s">
        <v>218</v>
      </c>
      <c r="N26" s="7" t="s">
        <v>164</v>
      </c>
      <c r="O26" s="7" t="s">
        <v>219</v>
      </c>
    </row>
    <row r="27" customFormat="false" ht="15" hidden="false" customHeight="false" outlineLevel="0" collapsed="false">
      <c r="A27" s="6" t="n">
        <v>71</v>
      </c>
      <c r="B27" s="7" t="s">
        <v>157</v>
      </c>
      <c r="C27" s="7" t="s">
        <v>183</v>
      </c>
      <c r="D27" s="7" t="s">
        <v>220</v>
      </c>
      <c r="E27" s="7" t="s">
        <v>79</v>
      </c>
      <c r="F27" s="7" t="s">
        <v>221</v>
      </c>
      <c r="G27" s="7"/>
      <c r="H27" s="6" t="n">
        <f aca="false">LEN(F27)</f>
        <v>40</v>
      </c>
      <c r="I27" s="6" t="n">
        <v>2</v>
      </c>
      <c r="J27" s="6" t="n">
        <v>5</v>
      </c>
      <c r="K27" s="7" t="s">
        <v>13</v>
      </c>
      <c r="L27" s="7" t="s">
        <v>222</v>
      </c>
      <c r="M27" s="7" t="s">
        <v>223</v>
      </c>
      <c r="N27" s="7" t="s">
        <v>164</v>
      </c>
      <c r="O27" s="7" t="s">
        <v>224</v>
      </c>
    </row>
    <row r="28" customFormat="false" ht="23.85" hidden="false" customHeight="false" outlineLevel="0" collapsed="false">
      <c r="A28" s="6" t="n">
        <v>73</v>
      </c>
      <c r="B28" s="7" t="s">
        <v>157</v>
      </c>
      <c r="C28" s="7" t="s">
        <v>225</v>
      </c>
      <c r="D28" s="7" t="s">
        <v>226</v>
      </c>
      <c r="E28" s="7" t="s">
        <v>97</v>
      </c>
      <c r="F28" s="7" t="s">
        <v>195</v>
      </c>
      <c r="G28" s="7"/>
      <c r="H28" s="6" t="n">
        <f aca="false">LEN(F28)</f>
        <v>15</v>
      </c>
      <c r="I28" s="6" t="n">
        <v>5</v>
      </c>
      <c r="J28" s="6" t="n">
        <v>5</v>
      </c>
      <c r="K28" s="7" t="s">
        <v>12</v>
      </c>
      <c r="L28" s="7" t="s">
        <v>227</v>
      </c>
      <c r="M28" s="7"/>
      <c r="N28" s="7" t="s">
        <v>164</v>
      </c>
      <c r="O28" s="7" t="s">
        <v>228</v>
      </c>
    </row>
    <row r="29" customFormat="false" ht="23.85" hidden="false" customHeight="false" outlineLevel="0" collapsed="false">
      <c r="A29" s="6" t="n">
        <v>78</v>
      </c>
      <c r="B29" s="7" t="s">
        <v>229</v>
      </c>
      <c r="C29" s="7" t="s">
        <v>230</v>
      </c>
      <c r="D29" s="7" t="s">
        <v>231</v>
      </c>
      <c r="E29" s="7" t="s">
        <v>97</v>
      </c>
      <c r="F29" s="7" t="s">
        <v>232</v>
      </c>
      <c r="G29" s="7"/>
      <c r="H29" s="6" t="n">
        <f aca="false">LEN(F29)</f>
        <v>28</v>
      </c>
      <c r="I29" s="6" t="n">
        <v>4</v>
      </c>
      <c r="J29" s="6" t="n">
        <v>5</v>
      </c>
      <c r="K29" s="7" t="s">
        <v>12</v>
      </c>
      <c r="L29" s="7" t="s">
        <v>233</v>
      </c>
      <c r="M29" s="7"/>
      <c r="N29" s="7" t="s">
        <v>164</v>
      </c>
      <c r="O29" s="7" t="s">
        <v>234</v>
      </c>
    </row>
    <row r="30" customFormat="false" ht="23.85" hidden="false" customHeight="false" outlineLevel="0" collapsed="false">
      <c r="A30" s="6" t="n">
        <v>79</v>
      </c>
      <c r="B30" s="7" t="s">
        <v>229</v>
      </c>
      <c r="C30" s="7" t="s">
        <v>230</v>
      </c>
      <c r="D30" s="7" t="s">
        <v>231</v>
      </c>
      <c r="E30" s="7" t="s">
        <v>97</v>
      </c>
      <c r="F30" s="7" t="s">
        <v>235</v>
      </c>
      <c r="G30" s="7"/>
      <c r="H30" s="6" t="n">
        <f aca="false">LEN(F30)</f>
        <v>19</v>
      </c>
      <c r="I30" s="6" t="n">
        <v>4</v>
      </c>
      <c r="J30" s="6" t="n">
        <v>5</v>
      </c>
      <c r="K30" s="7" t="s">
        <v>13</v>
      </c>
      <c r="L30" s="7" t="s">
        <v>236</v>
      </c>
      <c r="M30" s="7" t="s">
        <v>237</v>
      </c>
      <c r="N30" s="7" t="s">
        <v>164</v>
      </c>
      <c r="O30" s="7" t="s">
        <v>238</v>
      </c>
    </row>
    <row r="31" customFormat="false" ht="35.05" hidden="false" customHeight="false" outlineLevel="0" collapsed="false">
      <c r="A31" s="6" t="n">
        <v>89</v>
      </c>
      <c r="B31" s="7" t="s">
        <v>239</v>
      </c>
      <c r="C31" s="7" t="s">
        <v>240</v>
      </c>
      <c r="D31" s="7" t="s">
        <v>241</v>
      </c>
      <c r="E31" s="7" t="s">
        <v>242</v>
      </c>
      <c r="F31" s="7" t="s">
        <v>243</v>
      </c>
      <c r="G31" s="7"/>
      <c r="H31" s="6" t="n">
        <f aca="false">LEN(F31)</f>
        <v>74</v>
      </c>
      <c r="I31" s="6" t="n">
        <v>2</v>
      </c>
      <c r="J31" s="6" t="n">
        <v>5</v>
      </c>
      <c r="K31" s="7" t="s">
        <v>13</v>
      </c>
      <c r="L31" s="7" t="s">
        <v>244</v>
      </c>
      <c r="M31" s="7" t="s">
        <v>245</v>
      </c>
      <c r="N31" s="7" t="s">
        <v>246</v>
      </c>
      <c r="O31" s="7" t="s">
        <v>247</v>
      </c>
    </row>
    <row r="32" customFormat="false" ht="35.05" hidden="false" customHeight="false" outlineLevel="0" collapsed="false">
      <c r="A32" s="6" t="n">
        <v>90</v>
      </c>
      <c r="B32" s="7" t="s">
        <v>239</v>
      </c>
      <c r="C32" s="7" t="s">
        <v>240</v>
      </c>
      <c r="D32" s="7" t="s">
        <v>248</v>
      </c>
      <c r="E32" s="7" t="s">
        <v>242</v>
      </c>
      <c r="F32" s="7" t="s">
        <v>249</v>
      </c>
      <c r="G32" s="7"/>
      <c r="H32" s="6" t="n">
        <f aca="false">LEN(F32)</f>
        <v>38</v>
      </c>
      <c r="I32" s="6" t="n">
        <v>2</v>
      </c>
      <c r="J32" s="6" t="n">
        <v>5</v>
      </c>
      <c r="K32" s="7" t="s">
        <v>13</v>
      </c>
      <c r="L32" s="7" t="s">
        <v>250</v>
      </c>
      <c r="M32" s="7" t="s">
        <v>251</v>
      </c>
      <c r="N32" s="7" t="s">
        <v>246</v>
      </c>
      <c r="O32" s="7" t="s">
        <v>145</v>
      </c>
    </row>
    <row r="33" customFormat="false" ht="23.85" hidden="false" customHeight="false" outlineLevel="0" collapsed="false">
      <c r="A33" s="6" t="n">
        <v>91</v>
      </c>
      <c r="B33" s="7" t="s">
        <v>239</v>
      </c>
      <c r="C33" s="7" t="s">
        <v>240</v>
      </c>
      <c r="D33" s="7" t="s">
        <v>252</v>
      </c>
      <c r="E33" s="7" t="s">
        <v>242</v>
      </c>
      <c r="F33" s="7" t="s">
        <v>253</v>
      </c>
      <c r="G33" s="7"/>
      <c r="H33" s="6" t="n">
        <f aca="false">LEN(F33)</f>
        <v>65</v>
      </c>
      <c r="I33" s="6" t="n">
        <v>2</v>
      </c>
      <c r="J33" s="6" t="n">
        <v>5</v>
      </c>
      <c r="K33" s="7" t="s">
        <v>13</v>
      </c>
      <c r="L33" s="7" t="s">
        <v>254</v>
      </c>
      <c r="M33" s="7" t="s">
        <v>255</v>
      </c>
      <c r="N33" s="7" t="s">
        <v>246</v>
      </c>
      <c r="O33" s="7" t="s">
        <v>256</v>
      </c>
    </row>
    <row r="34" customFormat="false" ht="23.85" hidden="false" customHeight="false" outlineLevel="0" collapsed="false">
      <c r="A34" s="6" t="n">
        <v>92</v>
      </c>
      <c r="B34" s="7" t="s">
        <v>239</v>
      </c>
      <c r="C34" s="7" t="s">
        <v>240</v>
      </c>
      <c r="D34" s="7" t="s">
        <v>257</v>
      </c>
      <c r="E34" s="7" t="s">
        <v>242</v>
      </c>
      <c r="F34" s="7" t="s">
        <v>258</v>
      </c>
      <c r="G34" s="7"/>
      <c r="H34" s="6" t="n">
        <f aca="false">LEN(F34)</f>
        <v>75</v>
      </c>
      <c r="I34" s="6" t="n">
        <v>4</v>
      </c>
      <c r="J34" s="6" t="n">
        <v>5</v>
      </c>
      <c r="K34" s="7" t="s">
        <v>12</v>
      </c>
      <c r="L34" s="7" t="s">
        <v>259</v>
      </c>
      <c r="M34" s="7"/>
      <c r="N34" s="7" t="s">
        <v>246</v>
      </c>
      <c r="O34" s="7" t="s">
        <v>260</v>
      </c>
    </row>
    <row r="35" customFormat="false" ht="23.85" hidden="false" customHeight="false" outlineLevel="0" collapsed="false">
      <c r="A35" s="6" t="n">
        <v>93</v>
      </c>
      <c r="B35" s="7" t="s">
        <v>239</v>
      </c>
      <c r="C35" s="7" t="s">
        <v>240</v>
      </c>
      <c r="D35" s="7" t="s">
        <v>261</v>
      </c>
      <c r="E35" s="7" t="s">
        <v>242</v>
      </c>
      <c r="F35" s="7" t="s">
        <v>262</v>
      </c>
      <c r="G35" s="7"/>
      <c r="H35" s="6" t="n">
        <f aca="false">LEN(F35)</f>
        <v>79</v>
      </c>
      <c r="I35" s="6" t="n">
        <v>4</v>
      </c>
      <c r="J35" s="6" t="n">
        <v>5</v>
      </c>
      <c r="K35" s="7" t="s">
        <v>12</v>
      </c>
      <c r="L35" s="7" t="s">
        <v>263</v>
      </c>
      <c r="M35" s="7"/>
      <c r="N35" s="7" t="s">
        <v>246</v>
      </c>
      <c r="O35" s="7" t="s">
        <v>264</v>
      </c>
    </row>
    <row r="36" customFormat="false" ht="23.85" hidden="false" customHeight="false" outlineLevel="0" collapsed="false">
      <c r="A36" s="6" t="n">
        <v>94</v>
      </c>
      <c r="B36" s="7" t="s">
        <v>239</v>
      </c>
      <c r="C36" s="7" t="s">
        <v>240</v>
      </c>
      <c r="D36" s="7" t="s">
        <v>265</v>
      </c>
      <c r="E36" s="7" t="s">
        <v>242</v>
      </c>
      <c r="F36" s="7" t="s">
        <v>266</v>
      </c>
      <c r="G36" s="7"/>
      <c r="H36" s="6" t="n">
        <f aca="false">LEN(F36)</f>
        <v>66</v>
      </c>
      <c r="I36" s="6" t="n">
        <v>3</v>
      </c>
      <c r="J36" s="6" t="n">
        <v>5</v>
      </c>
      <c r="K36" s="7" t="s">
        <v>13</v>
      </c>
      <c r="L36" s="7" t="s">
        <v>267</v>
      </c>
      <c r="M36" s="7" t="s">
        <v>268</v>
      </c>
      <c r="N36" s="7" t="s">
        <v>246</v>
      </c>
      <c r="O36" s="7" t="s">
        <v>269</v>
      </c>
    </row>
    <row r="37" customFormat="false" ht="23.85" hidden="false" customHeight="false" outlineLevel="0" collapsed="false">
      <c r="A37" s="6" t="n">
        <v>97</v>
      </c>
      <c r="B37" s="7" t="s">
        <v>239</v>
      </c>
      <c r="C37" s="7" t="s">
        <v>270</v>
      </c>
      <c r="D37" s="7" t="s">
        <v>271</v>
      </c>
      <c r="E37" s="7" t="s">
        <v>242</v>
      </c>
      <c r="F37" s="7" t="s">
        <v>272</v>
      </c>
      <c r="G37" s="7"/>
      <c r="H37" s="6" t="n">
        <f aca="false">LEN(F37)</f>
        <v>53</v>
      </c>
      <c r="I37" s="6" t="n">
        <v>2</v>
      </c>
      <c r="J37" s="6" t="n">
        <v>5</v>
      </c>
      <c r="K37" s="7" t="s">
        <v>13</v>
      </c>
      <c r="L37" s="7" t="s">
        <v>273</v>
      </c>
      <c r="M37" s="7" t="s">
        <v>274</v>
      </c>
      <c r="N37" s="7" t="s">
        <v>275</v>
      </c>
      <c r="O37" s="7" t="s">
        <v>276</v>
      </c>
    </row>
    <row r="38" customFormat="false" ht="23.85" hidden="false" customHeight="false" outlineLevel="0" collapsed="false">
      <c r="A38" s="6" t="n">
        <v>98</v>
      </c>
      <c r="B38" s="7" t="s">
        <v>239</v>
      </c>
      <c r="C38" s="7" t="s">
        <v>270</v>
      </c>
      <c r="D38" s="7" t="s">
        <v>277</v>
      </c>
      <c r="E38" s="7" t="s">
        <v>242</v>
      </c>
      <c r="F38" s="7" t="s">
        <v>278</v>
      </c>
      <c r="G38" s="7"/>
      <c r="H38" s="6" t="n">
        <f aca="false">LEN(F38)</f>
        <v>60</v>
      </c>
      <c r="I38" s="6" t="n">
        <v>2</v>
      </c>
      <c r="J38" s="6" t="n">
        <v>5</v>
      </c>
      <c r="K38" s="7" t="s">
        <v>13</v>
      </c>
      <c r="L38" s="7" t="s">
        <v>279</v>
      </c>
      <c r="M38" s="7" t="s">
        <v>280</v>
      </c>
      <c r="N38" s="7" t="s">
        <v>275</v>
      </c>
      <c r="O38" s="7" t="s">
        <v>281</v>
      </c>
    </row>
    <row r="39" customFormat="false" ht="23.85" hidden="false" customHeight="false" outlineLevel="0" collapsed="false">
      <c r="A39" s="6" t="n">
        <v>99</v>
      </c>
      <c r="B39" s="7" t="s">
        <v>239</v>
      </c>
      <c r="C39" s="7" t="s">
        <v>270</v>
      </c>
      <c r="D39" s="7" t="s">
        <v>282</v>
      </c>
      <c r="E39" s="7" t="s">
        <v>242</v>
      </c>
      <c r="F39" s="7" t="s">
        <v>283</v>
      </c>
      <c r="G39" s="7"/>
      <c r="H39" s="6" t="n">
        <f aca="false">LEN(F39)</f>
        <v>28</v>
      </c>
      <c r="I39" s="6" t="n">
        <v>4</v>
      </c>
      <c r="J39" s="6" t="n">
        <v>5</v>
      </c>
      <c r="K39" s="7" t="s">
        <v>12</v>
      </c>
      <c r="L39" s="7" t="s">
        <v>284</v>
      </c>
      <c r="M39" s="7"/>
      <c r="N39" s="7" t="s">
        <v>275</v>
      </c>
      <c r="O39" s="7" t="s">
        <v>285</v>
      </c>
    </row>
    <row r="40" customFormat="false" ht="23.85" hidden="false" customHeight="false" outlineLevel="0" collapsed="false">
      <c r="A40" s="6" t="n">
        <v>100</v>
      </c>
      <c r="B40" s="7" t="s">
        <v>239</v>
      </c>
      <c r="C40" s="7" t="s">
        <v>270</v>
      </c>
      <c r="D40" s="7" t="s">
        <v>286</v>
      </c>
      <c r="E40" s="7" t="s">
        <v>242</v>
      </c>
      <c r="F40" s="7" t="s">
        <v>287</v>
      </c>
      <c r="G40" s="7"/>
      <c r="H40" s="6" t="n">
        <f aca="false">LEN(F40)</f>
        <v>41</v>
      </c>
      <c r="I40" s="6" t="n">
        <v>3</v>
      </c>
      <c r="J40" s="6" t="n">
        <v>5</v>
      </c>
      <c r="K40" s="7" t="s">
        <v>13</v>
      </c>
      <c r="L40" s="7" t="s">
        <v>288</v>
      </c>
      <c r="M40" s="7" t="s">
        <v>289</v>
      </c>
      <c r="N40" s="7" t="s">
        <v>275</v>
      </c>
      <c r="O40" s="7" t="s">
        <v>120</v>
      </c>
    </row>
    <row r="41" customFormat="false" ht="15" hidden="false" customHeight="false" outlineLevel="0" collapsed="false">
      <c r="A41" s="6" t="n">
        <v>101</v>
      </c>
      <c r="B41" s="7" t="s">
        <v>239</v>
      </c>
      <c r="C41" s="7" t="s">
        <v>270</v>
      </c>
      <c r="D41" s="7" t="s">
        <v>290</v>
      </c>
      <c r="E41" s="7" t="s">
        <v>242</v>
      </c>
      <c r="F41" s="7" t="s">
        <v>291</v>
      </c>
      <c r="G41" s="7"/>
      <c r="H41" s="6" t="n">
        <f aca="false">LEN(F41)</f>
        <v>38</v>
      </c>
      <c r="I41" s="6" t="n">
        <v>5</v>
      </c>
      <c r="J41" s="6" t="n">
        <v>5</v>
      </c>
      <c r="K41" s="7" t="s">
        <v>12</v>
      </c>
      <c r="L41" s="7" t="s">
        <v>292</v>
      </c>
      <c r="M41" s="7"/>
      <c r="N41" s="7" t="s">
        <v>275</v>
      </c>
      <c r="O41" s="7" t="s">
        <v>125</v>
      </c>
    </row>
    <row r="42" customFormat="false" ht="23.85" hidden="false" customHeight="false" outlineLevel="0" collapsed="false">
      <c r="A42" s="6" t="n">
        <v>102</v>
      </c>
      <c r="B42" s="7" t="s">
        <v>239</v>
      </c>
      <c r="C42" s="7" t="s">
        <v>270</v>
      </c>
      <c r="D42" s="7" t="s">
        <v>293</v>
      </c>
      <c r="E42" s="7" t="s">
        <v>242</v>
      </c>
      <c r="F42" s="7" t="s">
        <v>294</v>
      </c>
      <c r="G42" s="7"/>
      <c r="H42" s="6" t="n">
        <f aca="false">LEN(F42)</f>
        <v>64</v>
      </c>
      <c r="I42" s="6" t="n">
        <v>3</v>
      </c>
      <c r="J42" s="6" t="n">
        <v>5</v>
      </c>
      <c r="K42" s="7" t="s">
        <v>13</v>
      </c>
      <c r="L42" s="7" t="s">
        <v>295</v>
      </c>
      <c r="M42" s="7" t="s">
        <v>296</v>
      </c>
      <c r="N42" s="7" t="s">
        <v>275</v>
      </c>
      <c r="O42" s="7" t="s">
        <v>129</v>
      </c>
    </row>
    <row r="43" customFormat="false" ht="23.85" hidden="false" customHeight="false" outlineLevel="0" collapsed="false">
      <c r="A43" s="6" t="n">
        <v>103</v>
      </c>
      <c r="B43" s="7" t="s">
        <v>239</v>
      </c>
      <c r="C43" s="7" t="s">
        <v>297</v>
      </c>
      <c r="D43" s="7" t="s">
        <v>298</v>
      </c>
      <c r="E43" s="7" t="s">
        <v>242</v>
      </c>
      <c r="F43" s="7" t="s">
        <v>299</v>
      </c>
      <c r="G43" s="7"/>
      <c r="H43" s="6" t="n">
        <f aca="false">LEN(F43)</f>
        <v>62</v>
      </c>
      <c r="I43" s="6" t="n">
        <v>5</v>
      </c>
      <c r="J43" s="6" t="n">
        <v>5</v>
      </c>
      <c r="K43" s="7" t="s">
        <v>12</v>
      </c>
      <c r="L43" s="7" t="s">
        <v>300</v>
      </c>
      <c r="M43" s="7"/>
      <c r="N43" s="7" t="s">
        <v>301</v>
      </c>
      <c r="O43" s="7" t="s">
        <v>302</v>
      </c>
    </row>
    <row r="44" customFormat="false" ht="46.25" hidden="false" customHeight="false" outlineLevel="0" collapsed="false">
      <c r="A44" s="6" t="n">
        <v>104</v>
      </c>
      <c r="B44" s="7" t="s">
        <v>239</v>
      </c>
      <c r="C44" s="7" t="s">
        <v>297</v>
      </c>
      <c r="D44" s="7" t="s">
        <v>303</v>
      </c>
      <c r="E44" s="7" t="s">
        <v>242</v>
      </c>
      <c r="F44" s="7" t="s">
        <v>304</v>
      </c>
      <c r="G44" s="7"/>
      <c r="H44" s="6" t="n">
        <f aca="false">LEN(F44)</f>
        <v>169</v>
      </c>
      <c r="I44" s="6" t="n">
        <v>2</v>
      </c>
      <c r="J44" s="6" t="n">
        <v>5</v>
      </c>
      <c r="K44" s="7" t="s">
        <v>13</v>
      </c>
      <c r="L44" s="7" t="s">
        <v>305</v>
      </c>
      <c r="M44" s="7" t="s">
        <v>306</v>
      </c>
      <c r="N44" s="7" t="s">
        <v>301</v>
      </c>
      <c r="O44" s="7" t="s">
        <v>307</v>
      </c>
    </row>
    <row r="45" customFormat="false" ht="23.85" hidden="false" customHeight="false" outlineLevel="0" collapsed="false">
      <c r="A45" s="6" t="n">
        <v>105</v>
      </c>
      <c r="B45" s="7" t="s">
        <v>239</v>
      </c>
      <c r="C45" s="7" t="s">
        <v>297</v>
      </c>
      <c r="D45" s="7" t="s">
        <v>308</v>
      </c>
      <c r="E45" s="7" t="s">
        <v>242</v>
      </c>
      <c r="F45" s="7" t="s">
        <v>309</v>
      </c>
      <c r="G45" s="7"/>
      <c r="H45" s="6" t="n">
        <f aca="false">LEN(F45)</f>
        <v>113</v>
      </c>
      <c r="I45" s="6" t="n">
        <v>5</v>
      </c>
      <c r="J45" s="6" t="n">
        <v>5</v>
      </c>
      <c r="K45" s="7" t="s">
        <v>12</v>
      </c>
      <c r="L45" s="7" t="s">
        <v>310</v>
      </c>
      <c r="M45" s="7"/>
      <c r="N45" s="7" t="s">
        <v>301</v>
      </c>
      <c r="O45" s="7" t="s">
        <v>311</v>
      </c>
    </row>
    <row r="46" customFormat="false" ht="23.85" hidden="false" customHeight="false" outlineLevel="0" collapsed="false">
      <c r="A46" s="6" t="n">
        <v>106</v>
      </c>
      <c r="B46" s="7" t="s">
        <v>239</v>
      </c>
      <c r="C46" s="7" t="s">
        <v>297</v>
      </c>
      <c r="D46" s="7" t="s">
        <v>312</v>
      </c>
      <c r="E46" s="7" t="s">
        <v>242</v>
      </c>
      <c r="F46" s="7" t="s">
        <v>313</v>
      </c>
      <c r="G46" s="7"/>
      <c r="H46" s="6" t="n">
        <f aca="false">LEN(F46)</f>
        <v>68</v>
      </c>
      <c r="I46" s="6" t="n">
        <v>4</v>
      </c>
      <c r="J46" s="6" t="n">
        <v>5</v>
      </c>
      <c r="K46" s="7" t="s">
        <v>12</v>
      </c>
      <c r="L46" s="7" t="s">
        <v>314</v>
      </c>
      <c r="M46" s="7"/>
      <c r="N46" s="7" t="s">
        <v>301</v>
      </c>
      <c r="O46" s="7" t="s">
        <v>315</v>
      </c>
    </row>
    <row r="47" customFormat="false" ht="15" hidden="false" customHeight="false" outlineLevel="0" collapsed="false">
      <c r="A47" s="6" t="n">
        <v>107</v>
      </c>
      <c r="B47" s="7" t="s">
        <v>239</v>
      </c>
      <c r="C47" s="7" t="s">
        <v>297</v>
      </c>
      <c r="D47" s="7" t="s">
        <v>316</v>
      </c>
      <c r="E47" s="7" t="s">
        <v>242</v>
      </c>
      <c r="F47" s="7" t="s">
        <v>317</v>
      </c>
      <c r="G47" s="7"/>
      <c r="H47" s="6" t="n">
        <f aca="false">LEN(F47)</f>
        <v>32</v>
      </c>
      <c r="I47" s="6" t="n">
        <v>5</v>
      </c>
      <c r="J47" s="6" t="n">
        <v>5</v>
      </c>
      <c r="K47" s="7" t="s">
        <v>12</v>
      </c>
      <c r="L47" s="7" t="s">
        <v>292</v>
      </c>
      <c r="M47" s="7"/>
      <c r="N47" s="7" t="s">
        <v>301</v>
      </c>
      <c r="O47" s="7" t="s">
        <v>318</v>
      </c>
    </row>
    <row r="48" customFormat="false" ht="23.85" hidden="false" customHeight="false" outlineLevel="0" collapsed="false">
      <c r="A48" s="6" t="n">
        <v>108</v>
      </c>
      <c r="B48" s="7" t="s">
        <v>239</v>
      </c>
      <c r="C48" s="7" t="s">
        <v>297</v>
      </c>
      <c r="D48" s="7" t="s">
        <v>319</v>
      </c>
      <c r="E48" s="7" t="s">
        <v>242</v>
      </c>
      <c r="F48" s="7" t="s">
        <v>320</v>
      </c>
      <c r="G48" s="7"/>
      <c r="H48" s="6" t="n">
        <f aca="false">LEN(F48)</f>
        <v>108</v>
      </c>
      <c r="I48" s="6" t="n">
        <v>3</v>
      </c>
      <c r="J48" s="6" t="n">
        <v>5</v>
      </c>
      <c r="K48" s="7" t="s">
        <v>13</v>
      </c>
      <c r="L48" s="7" t="s">
        <v>321</v>
      </c>
      <c r="M48" s="7" t="s">
        <v>322</v>
      </c>
      <c r="N48" s="7" t="s">
        <v>301</v>
      </c>
      <c r="O48" s="7" t="s">
        <v>323</v>
      </c>
    </row>
    <row r="49" customFormat="false" ht="23.85" hidden="false" customHeight="false" outlineLevel="0" collapsed="false">
      <c r="A49" s="6" t="n">
        <v>110</v>
      </c>
      <c r="B49" s="7" t="s">
        <v>324</v>
      </c>
      <c r="C49" s="7" t="s">
        <v>325</v>
      </c>
      <c r="D49" s="7" t="s">
        <v>326</v>
      </c>
      <c r="E49" s="7" t="s">
        <v>79</v>
      </c>
      <c r="F49" s="7" t="s">
        <v>327</v>
      </c>
      <c r="G49" s="7" t="s">
        <v>328</v>
      </c>
      <c r="H49" s="6" t="n">
        <f aca="false">LEN(F49)</f>
        <v>18</v>
      </c>
      <c r="I49" s="6" t="n">
        <v>5</v>
      </c>
      <c r="J49" s="6" t="n">
        <v>5</v>
      </c>
      <c r="K49" s="7" t="s">
        <v>12</v>
      </c>
      <c r="L49" s="7" t="s">
        <v>329</v>
      </c>
      <c r="M49" s="7"/>
      <c r="N49" s="7" t="s">
        <v>330</v>
      </c>
      <c r="O49" s="7" t="s">
        <v>331</v>
      </c>
    </row>
    <row r="50" customFormat="false" ht="23.85" hidden="false" customHeight="false" outlineLevel="0" collapsed="false">
      <c r="A50" s="6" t="n">
        <v>112</v>
      </c>
      <c r="B50" s="7" t="s">
        <v>324</v>
      </c>
      <c r="C50" s="7" t="s">
        <v>332</v>
      </c>
      <c r="D50" s="7" t="s">
        <v>333</v>
      </c>
      <c r="E50" s="7" t="s">
        <v>79</v>
      </c>
      <c r="F50" s="7" t="s">
        <v>334</v>
      </c>
      <c r="G50" s="7"/>
      <c r="H50" s="6" t="n">
        <f aca="false">LEN(F50)</f>
        <v>47</v>
      </c>
      <c r="I50" s="6" t="n">
        <v>5</v>
      </c>
      <c r="J50" s="6" t="n">
        <v>5</v>
      </c>
      <c r="K50" s="7" t="s">
        <v>12</v>
      </c>
      <c r="L50" s="7" t="s">
        <v>335</v>
      </c>
      <c r="M50" s="7"/>
      <c r="N50" s="7" t="s">
        <v>330</v>
      </c>
      <c r="O50" s="7" t="s">
        <v>336</v>
      </c>
    </row>
    <row r="51" customFormat="false" ht="23.85" hidden="false" customHeight="false" outlineLevel="0" collapsed="false">
      <c r="A51" s="6" t="n">
        <v>121</v>
      </c>
      <c r="B51" s="7" t="s">
        <v>337</v>
      </c>
      <c r="C51" s="7" t="s">
        <v>338</v>
      </c>
      <c r="D51" s="7" t="s">
        <v>339</v>
      </c>
      <c r="E51" s="7" t="s">
        <v>79</v>
      </c>
      <c r="F51" s="7" t="s">
        <v>340</v>
      </c>
      <c r="G51" s="7"/>
      <c r="H51" s="6" t="n">
        <f aca="false">LEN(F51)</f>
        <v>62</v>
      </c>
      <c r="I51" s="6" t="n">
        <v>5</v>
      </c>
      <c r="J51" s="6" t="n">
        <v>5</v>
      </c>
      <c r="K51" s="7" t="s">
        <v>12</v>
      </c>
      <c r="L51" s="7" t="s">
        <v>341</v>
      </c>
      <c r="M51" s="7"/>
      <c r="N51" s="7" t="s">
        <v>342</v>
      </c>
      <c r="O51" s="7" t="s">
        <v>343</v>
      </c>
    </row>
    <row r="52" customFormat="false" ht="23.85" hidden="false" customHeight="false" outlineLevel="0" collapsed="false">
      <c r="A52" s="6" t="n">
        <v>124</v>
      </c>
      <c r="B52" s="7" t="s">
        <v>337</v>
      </c>
      <c r="C52" s="7" t="s">
        <v>344</v>
      </c>
      <c r="D52" s="7" t="s">
        <v>345</v>
      </c>
      <c r="E52" s="7" t="s">
        <v>97</v>
      </c>
      <c r="F52" s="7" t="s">
        <v>195</v>
      </c>
      <c r="G52" s="7"/>
      <c r="H52" s="6" t="n">
        <f aca="false">LEN(F52)</f>
        <v>15</v>
      </c>
      <c r="I52" s="6" t="n">
        <v>5</v>
      </c>
      <c r="J52" s="6" t="n">
        <v>5</v>
      </c>
      <c r="K52" s="7" t="s">
        <v>12</v>
      </c>
      <c r="L52" s="7" t="s">
        <v>227</v>
      </c>
      <c r="M52" s="7"/>
      <c r="N52" s="7" t="s">
        <v>342</v>
      </c>
      <c r="O52" s="7" t="s">
        <v>346</v>
      </c>
    </row>
    <row r="53" customFormat="false" ht="23.85" hidden="false" customHeight="false" outlineLevel="0" collapsed="false">
      <c r="A53" s="6" t="n">
        <v>128</v>
      </c>
      <c r="B53" s="7" t="s">
        <v>337</v>
      </c>
      <c r="C53" s="7" t="s">
        <v>347</v>
      </c>
      <c r="D53" s="7" t="s">
        <v>348</v>
      </c>
      <c r="E53" s="7" t="s">
        <v>79</v>
      </c>
      <c r="F53" s="7" t="s">
        <v>349</v>
      </c>
      <c r="G53" s="7" t="s">
        <v>350</v>
      </c>
      <c r="H53" s="6" t="n">
        <f aca="false">LEN(F53)</f>
        <v>48</v>
      </c>
      <c r="I53" s="6" t="n">
        <v>5</v>
      </c>
      <c r="J53" s="6" t="n">
        <v>5</v>
      </c>
      <c r="K53" s="7" t="s">
        <v>12</v>
      </c>
      <c r="L53" s="7" t="s">
        <v>351</v>
      </c>
      <c r="M53" s="7"/>
      <c r="N53" s="7" t="s">
        <v>342</v>
      </c>
      <c r="O53" s="7" t="s">
        <v>352</v>
      </c>
    </row>
    <row r="54" customFormat="false" ht="23.85" hidden="false" customHeight="false" outlineLevel="0" collapsed="false">
      <c r="A54" s="6" t="n">
        <v>132</v>
      </c>
      <c r="B54" s="7" t="s">
        <v>337</v>
      </c>
      <c r="C54" s="7" t="s">
        <v>347</v>
      </c>
      <c r="D54" s="7" t="s">
        <v>353</v>
      </c>
      <c r="E54" s="7" t="s">
        <v>97</v>
      </c>
      <c r="F54" s="7" t="s">
        <v>354</v>
      </c>
      <c r="G54" s="7"/>
      <c r="H54" s="6" t="n">
        <f aca="false">LEN(F54)</f>
        <v>39</v>
      </c>
      <c r="I54" s="6" t="n">
        <v>3</v>
      </c>
      <c r="J54" s="6" t="n">
        <v>5</v>
      </c>
      <c r="K54" s="7" t="s">
        <v>13</v>
      </c>
      <c r="L54" s="7" t="s">
        <v>355</v>
      </c>
      <c r="M54" s="7" t="s">
        <v>356</v>
      </c>
      <c r="N54" s="7" t="s">
        <v>342</v>
      </c>
      <c r="O54" s="7" t="s">
        <v>357</v>
      </c>
    </row>
    <row r="55" customFormat="false" ht="23.85" hidden="false" customHeight="false" outlineLevel="0" collapsed="false">
      <c r="A55" s="6" t="n">
        <v>135</v>
      </c>
      <c r="B55" s="7" t="s">
        <v>337</v>
      </c>
      <c r="C55" s="7" t="s">
        <v>358</v>
      </c>
      <c r="D55" s="7" t="s">
        <v>359</v>
      </c>
      <c r="E55" s="7" t="s">
        <v>97</v>
      </c>
      <c r="F55" s="7" t="s">
        <v>360</v>
      </c>
      <c r="G55" s="7"/>
      <c r="H55" s="6" t="n">
        <f aca="false">LEN(F55)</f>
        <v>35</v>
      </c>
      <c r="I55" s="6" t="n">
        <v>4</v>
      </c>
      <c r="J55" s="6" t="n">
        <v>5</v>
      </c>
      <c r="K55" s="7" t="s">
        <v>12</v>
      </c>
      <c r="L55" s="7" t="s">
        <v>361</v>
      </c>
      <c r="M55" s="7"/>
      <c r="N55" s="7" t="s">
        <v>362</v>
      </c>
      <c r="O55" s="7" t="s">
        <v>134</v>
      </c>
    </row>
    <row r="56" customFormat="false" ht="23.85" hidden="false" customHeight="false" outlineLevel="0" collapsed="false">
      <c r="A56" s="6" t="n">
        <v>136</v>
      </c>
      <c r="B56" s="7" t="s">
        <v>337</v>
      </c>
      <c r="C56" s="7" t="s">
        <v>358</v>
      </c>
      <c r="D56" s="7" t="s">
        <v>363</v>
      </c>
      <c r="E56" s="7" t="s">
        <v>97</v>
      </c>
      <c r="F56" s="7" t="s">
        <v>364</v>
      </c>
      <c r="G56" s="7" t="s">
        <v>365</v>
      </c>
      <c r="H56" s="6" t="n">
        <f aca="false">LEN(F56)</f>
        <v>32</v>
      </c>
      <c r="I56" s="6" t="n">
        <v>3</v>
      </c>
      <c r="J56" s="6" t="n">
        <v>5</v>
      </c>
      <c r="K56" s="7" t="s">
        <v>13</v>
      </c>
      <c r="L56" s="7" t="s">
        <v>366</v>
      </c>
      <c r="M56" s="7" t="s">
        <v>367</v>
      </c>
      <c r="N56" s="7" t="s">
        <v>362</v>
      </c>
      <c r="O56" s="7" t="s">
        <v>318</v>
      </c>
    </row>
    <row r="57" customFormat="false" ht="23.85" hidden="false" customHeight="false" outlineLevel="0" collapsed="false">
      <c r="A57" s="6" t="n">
        <v>137</v>
      </c>
      <c r="B57" s="7" t="s">
        <v>337</v>
      </c>
      <c r="C57" s="7" t="s">
        <v>358</v>
      </c>
      <c r="D57" s="7" t="s">
        <v>368</v>
      </c>
      <c r="E57" s="7" t="s">
        <v>97</v>
      </c>
      <c r="F57" s="7" t="s">
        <v>369</v>
      </c>
      <c r="G57" s="7" t="s">
        <v>370</v>
      </c>
      <c r="H57" s="6" t="n">
        <f aca="false">LEN(F57)</f>
        <v>25</v>
      </c>
      <c r="I57" s="6" t="n">
        <v>3</v>
      </c>
      <c r="J57" s="6" t="n">
        <v>5</v>
      </c>
      <c r="K57" s="7" t="s">
        <v>13</v>
      </c>
      <c r="L57" s="7" t="s">
        <v>371</v>
      </c>
      <c r="M57" s="7" t="s">
        <v>372</v>
      </c>
      <c r="N57" s="7" t="s">
        <v>362</v>
      </c>
      <c r="O57" s="7" t="s">
        <v>373</v>
      </c>
    </row>
    <row r="58" customFormat="false" ht="35.05" hidden="false" customHeight="false" outlineLevel="0" collapsed="false">
      <c r="A58" s="6" t="n">
        <v>138</v>
      </c>
      <c r="B58" s="7" t="s">
        <v>337</v>
      </c>
      <c r="C58" s="7" t="s">
        <v>358</v>
      </c>
      <c r="D58" s="7" t="s">
        <v>374</v>
      </c>
      <c r="E58" s="7" t="s">
        <v>79</v>
      </c>
      <c r="F58" s="7" t="s">
        <v>375</v>
      </c>
      <c r="G58" s="7" t="s">
        <v>376</v>
      </c>
      <c r="H58" s="6" t="n">
        <f aca="false">LEN(F58)</f>
        <v>46</v>
      </c>
      <c r="I58" s="6" t="n">
        <v>2</v>
      </c>
      <c r="J58" s="6" t="n">
        <v>5</v>
      </c>
      <c r="K58" s="7" t="s">
        <v>13</v>
      </c>
      <c r="L58" s="7" t="s">
        <v>377</v>
      </c>
      <c r="M58" s="7" t="s">
        <v>378</v>
      </c>
      <c r="N58" s="7" t="s">
        <v>342</v>
      </c>
      <c r="O58" s="7" t="s">
        <v>379</v>
      </c>
    </row>
    <row r="59" customFormat="false" ht="23.85" hidden="false" customHeight="false" outlineLevel="0" collapsed="false">
      <c r="A59" s="6" t="n">
        <v>139</v>
      </c>
      <c r="B59" s="7" t="s">
        <v>337</v>
      </c>
      <c r="C59" s="7" t="s">
        <v>358</v>
      </c>
      <c r="D59" s="7" t="s">
        <v>380</v>
      </c>
      <c r="E59" s="7" t="s">
        <v>97</v>
      </c>
      <c r="F59" s="7" t="s">
        <v>381</v>
      </c>
      <c r="G59" s="7"/>
      <c r="H59" s="6" t="n">
        <f aca="false">LEN(F59)</f>
        <v>19</v>
      </c>
      <c r="I59" s="6" t="n">
        <v>3</v>
      </c>
      <c r="J59" s="6" t="n">
        <v>5</v>
      </c>
      <c r="K59" s="7" t="s">
        <v>13</v>
      </c>
      <c r="L59" s="7" t="s">
        <v>382</v>
      </c>
      <c r="M59" s="7" t="s">
        <v>383</v>
      </c>
      <c r="N59" s="7" t="s">
        <v>362</v>
      </c>
      <c r="O59" s="7" t="s">
        <v>384</v>
      </c>
    </row>
    <row r="60" customFormat="false" ht="23.85" hidden="false" customHeight="false" outlineLevel="0" collapsed="false">
      <c r="A60" s="6" t="n">
        <v>140</v>
      </c>
      <c r="B60" s="7" t="s">
        <v>337</v>
      </c>
      <c r="C60" s="7" t="s">
        <v>358</v>
      </c>
      <c r="D60" s="7" t="s">
        <v>380</v>
      </c>
      <c r="E60" s="7" t="s">
        <v>97</v>
      </c>
      <c r="F60" s="7" t="s">
        <v>385</v>
      </c>
      <c r="G60" s="7"/>
      <c r="H60" s="6" t="n">
        <f aca="false">LEN(F60)</f>
        <v>20</v>
      </c>
      <c r="I60" s="6" t="n">
        <v>4</v>
      </c>
      <c r="J60" s="6" t="n">
        <v>5</v>
      </c>
      <c r="K60" s="7" t="s">
        <v>13</v>
      </c>
      <c r="L60" s="7" t="s">
        <v>386</v>
      </c>
      <c r="M60" s="7" t="s">
        <v>387</v>
      </c>
      <c r="N60" s="7" t="s">
        <v>362</v>
      </c>
      <c r="O60" s="7" t="s">
        <v>388</v>
      </c>
    </row>
    <row r="61" customFormat="false" ht="35.05" hidden="false" customHeight="false" outlineLevel="0" collapsed="false">
      <c r="A61" s="6" t="n">
        <v>141</v>
      </c>
      <c r="B61" s="7" t="s">
        <v>337</v>
      </c>
      <c r="C61" s="7" t="s">
        <v>389</v>
      </c>
      <c r="D61" s="7" t="s">
        <v>390</v>
      </c>
      <c r="E61" s="7" t="s">
        <v>79</v>
      </c>
      <c r="F61" s="7" t="s">
        <v>391</v>
      </c>
      <c r="G61" s="7"/>
      <c r="H61" s="6" t="n">
        <f aca="false">LEN(F61)</f>
        <v>96</v>
      </c>
      <c r="I61" s="6" t="n">
        <v>3</v>
      </c>
      <c r="J61" s="6" t="n">
        <v>5</v>
      </c>
      <c r="K61" s="7" t="s">
        <v>13</v>
      </c>
      <c r="L61" s="7" t="s">
        <v>392</v>
      </c>
      <c r="M61" s="7" t="s">
        <v>393</v>
      </c>
      <c r="N61" s="7" t="s">
        <v>342</v>
      </c>
      <c r="O61" s="7" t="s">
        <v>394</v>
      </c>
    </row>
    <row r="62" customFormat="false" ht="23.85" hidden="false" customHeight="false" outlineLevel="0" collapsed="false">
      <c r="A62" s="6" t="n">
        <v>142</v>
      </c>
      <c r="B62" s="7" t="s">
        <v>337</v>
      </c>
      <c r="C62" s="7" t="s">
        <v>389</v>
      </c>
      <c r="D62" s="7" t="s">
        <v>395</v>
      </c>
      <c r="E62" s="7" t="s">
        <v>79</v>
      </c>
      <c r="F62" s="7" t="s">
        <v>396</v>
      </c>
      <c r="G62" s="7"/>
      <c r="H62" s="6" t="n">
        <f aca="false">LEN(F62)</f>
        <v>89</v>
      </c>
      <c r="I62" s="6" t="n">
        <v>4</v>
      </c>
      <c r="J62" s="6" t="n">
        <v>5</v>
      </c>
      <c r="K62" s="7" t="s">
        <v>12</v>
      </c>
      <c r="L62" s="7" t="s">
        <v>397</v>
      </c>
      <c r="M62" s="7"/>
      <c r="N62" s="7" t="s">
        <v>342</v>
      </c>
      <c r="O62" s="7" t="s">
        <v>398</v>
      </c>
    </row>
    <row r="63" customFormat="false" ht="23.85" hidden="false" customHeight="false" outlineLevel="0" collapsed="false">
      <c r="A63" s="6" t="n">
        <v>143</v>
      </c>
      <c r="B63" s="7" t="s">
        <v>337</v>
      </c>
      <c r="C63" s="7" t="s">
        <v>389</v>
      </c>
      <c r="D63" s="7" t="s">
        <v>399</v>
      </c>
      <c r="E63" s="7" t="s">
        <v>79</v>
      </c>
      <c r="F63" s="7" t="s">
        <v>400</v>
      </c>
      <c r="G63" s="7"/>
      <c r="H63" s="6" t="n">
        <f aca="false">LEN(F63)</f>
        <v>113</v>
      </c>
      <c r="I63" s="6" t="n">
        <v>4</v>
      </c>
      <c r="J63" s="6" t="n">
        <v>5</v>
      </c>
      <c r="K63" s="7" t="s">
        <v>12</v>
      </c>
      <c r="L63" s="7" t="s">
        <v>401</v>
      </c>
      <c r="M63" s="7"/>
      <c r="N63" s="7" t="s">
        <v>342</v>
      </c>
      <c r="O63" s="7" t="s">
        <v>402</v>
      </c>
    </row>
    <row r="64" customFormat="false" ht="23.85" hidden="false" customHeight="false" outlineLevel="0" collapsed="false">
      <c r="A64" s="6" t="n">
        <v>144</v>
      </c>
      <c r="B64" s="7" t="s">
        <v>337</v>
      </c>
      <c r="C64" s="7" t="s">
        <v>389</v>
      </c>
      <c r="D64" s="7" t="s">
        <v>403</v>
      </c>
      <c r="E64" s="7" t="s">
        <v>79</v>
      </c>
      <c r="F64" s="7" t="s">
        <v>404</v>
      </c>
      <c r="G64" s="7"/>
      <c r="H64" s="6" t="n">
        <f aca="false">LEN(F64)</f>
        <v>81</v>
      </c>
      <c r="I64" s="6" t="n">
        <v>3</v>
      </c>
      <c r="J64" s="6" t="n">
        <v>5</v>
      </c>
      <c r="K64" s="7" t="s">
        <v>13</v>
      </c>
      <c r="L64" s="7" t="s">
        <v>405</v>
      </c>
      <c r="M64" s="7" t="s">
        <v>406</v>
      </c>
      <c r="N64" s="7" t="s">
        <v>342</v>
      </c>
      <c r="O64" s="7" t="s">
        <v>407</v>
      </c>
    </row>
    <row r="65" customFormat="false" ht="23.85" hidden="false" customHeight="false" outlineLevel="0" collapsed="false">
      <c r="A65" s="6" t="n">
        <v>145</v>
      </c>
      <c r="B65" s="7" t="s">
        <v>337</v>
      </c>
      <c r="C65" s="7" t="s">
        <v>389</v>
      </c>
      <c r="D65" s="7" t="s">
        <v>408</v>
      </c>
      <c r="E65" s="7" t="s">
        <v>79</v>
      </c>
      <c r="F65" s="7" t="s">
        <v>409</v>
      </c>
      <c r="G65" s="7"/>
      <c r="H65" s="6" t="n">
        <f aca="false">LEN(F65)</f>
        <v>69</v>
      </c>
      <c r="I65" s="6" t="n">
        <v>4</v>
      </c>
      <c r="J65" s="6" t="n">
        <v>5</v>
      </c>
      <c r="K65" s="7" t="s">
        <v>12</v>
      </c>
      <c r="L65" s="7" t="s">
        <v>410</v>
      </c>
      <c r="M65" s="7"/>
      <c r="N65" s="7" t="s">
        <v>342</v>
      </c>
      <c r="O65" s="7" t="s">
        <v>411</v>
      </c>
    </row>
    <row r="66" customFormat="false" ht="35.05" hidden="false" customHeight="false" outlineLevel="0" collapsed="false">
      <c r="A66" s="6" t="n">
        <v>146</v>
      </c>
      <c r="B66" s="7" t="s">
        <v>337</v>
      </c>
      <c r="C66" s="7" t="s">
        <v>389</v>
      </c>
      <c r="D66" s="7" t="s">
        <v>412</v>
      </c>
      <c r="E66" s="7" t="s">
        <v>79</v>
      </c>
      <c r="F66" s="7" t="s">
        <v>413</v>
      </c>
      <c r="G66" s="7"/>
      <c r="H66" s="6" t="n">
        <f aca="false">LEN(F66)</f>
        <v>52</v>
      </c>
      <c r="I66" s="6" t="n">
        <v>3</v>
      </c>
      <c r="J66" s="6" t="n">
        <v>5</v>
      </c>
      <c r="K66" s="7" t="s">
        <v>13</v>
      </c>
      <c r="L66" s="7" t="s">
        <v>414</v>
      </c>
      <c r="M66" s="7" t="s">
        <v>415</v>
      </c>
      <c r="N66" s="7" t="s">
        <v>342</v>
      </c>
      <c r="O66" s="7" t="s">
        <v>416</v>
      </c>
    </row>
    <row r="67" customFormat="false" ht="23.85" hidden="false" customHeight="false" outlineLevel="0" collapsed="false">
      <c r="A67" s="6" t="n">
        <v>147</v>
      </c>
      <c r="B67" s="7" t="s">
        <v>337</v>
      </c>
      <c r="C67" s="7" t="s">
        <v>389</v>
      </c>
      <c r="D67" s="7" t="s">
        <v>417</v>
      </c>
      <c r="E67" s="7" t="s">
        <v>79</v>
      </c>
      <c r="F67" s="7" t="s">
        <v>418</v>
      </c>
      <c r="G67" s="7"/>
      <c r="H67" s="6" t="n">
        <f aca="false">LEN(F67)</f>
        <v>53</v>
      </c>
      <c r="I67" s="6" t="n">
        <v>4</v>
      </c>
      <c r="J67" s="6" t="n">
        <v>5</v>
      </c>
      <c r="K67" s="7" t="s">
        <v>13</v>
      </c>
      <c r="L67" s="7" t="s">
        <v>419</v>
      </c>
      <c r="M67" s="7" t="s">
        <v>420</v>
      </c>
      <c r="N67" s="7" t="s">
        <v>342</v>
      </c>
      <c r="O67" s="7" t="s">
        <v>421</v>
      </c>
    </row>
    <row r="68" customFormat="false" ht="23.85" hidden="false" customHeight="false" outlineLevel="0" collapsed="false">
      <c r="A68" s="6" t="n">
        <v>148</v>
      </c>
      <c r="B68" s="7" t="s">
        <v>337</v>
      </c>
      <c r="C68" s="7" t="s">
        <v>389</v>
      </c>
      <c r="D68" s="7" t="s">
        <v>422</v>
      </c>
      <c r="E68" s="7" t="s">
        <v>97</v>
      </c>
      <c r="F68" s="7" t="s">
        <v>423</v>
      </c>
      <c r="G68" s="7"/>
      <c r="H68" s="6" t="n">
        <f aca="false">LEN(F68)</f>
        <v>24</v>
      </c>
      <c r="I68" s="6" t="n">
        <v>4</v>
      </c>
      <c r="J68" s="6" t="n">
        <v>5</v>
      </c>
      <c r="K68" s="7" t="s">
        <v>13</v>
      </c>
      <c r="L68" s="7" t="s">
        <v>424</v>
      </c>
      <c r="M68" s="7" t="s">
        <v>425</v>
      </c>
      <c r="N68" s="7" t="s">
        <v>342</v>
      </c>
      <c r="O68" s="7" t="s">
        <v>426</v>
      </c>
    </row>
    <row r="69" customFormat="false" ht="23.85" hidden="false" customHeight="false" outlineLevel="0" collapsed="false">
      <c r="A69" s="6" t="n">
        <v>149</v>
      </c>
      <c r="B69" s="7" t="s">
        <v>337</v>
      </c>
      <c r="C69" s="7" t="s">
        <v>389</v>
      </c>
      <c r="D69" s="7" t="s">
        <v>427</v>
      </c>
      <c r="E69" s="7" t="s">
        <v>97</v>
      </c>
      <c r="F69" s="7" t="s">
        <v>428</v>
      </c>
      <c r="G69" s="7"/>
      <c r="H69" s="6" t="n">
        <f aca="false">LEN(F69)</f>
        <v>19</v>
      </c>
      <c r="I69" s="6" t="n">
        <v>4</v>
      </c>
      <c r="J69" s="6" t="n">
        <v>5</v>
      </c>
      <c r="K69" s="7" t="s">
        <v>13</v>
      </c>
      <c r="L69" s="7" t="s">
        <v>429</v>
      </c>
      <c r="M69" s="7" t="s">
        <v>425</v>
      </c>
      <c r="N69" s="7" t="s">
        <v>342</v>
      </c>
      <c r="O69" s="7" t="s">
        <v>430</v>
      </c>
    </row>
    <row r="70" customFormat="false" ht="23.85" hidden="false" customHeight="false" outlineLevel="0" collapsed="false">
      <c r="A70" s="6" t="n">
        <v>150</v>
      </c>
      <c r="B70" s="7" t="s">
        <v>337</v>
      </c>
      <c r="C70" s="7" t="s">
        <v>389</v>
      </c>
      <c r="D70" s="7" t="s">
        <v>431</v>
      </c>
      <c r="E70" s="7" t="s">
        <v>97</v>
      </c>
      <c r="F70" s="7" t="s">
        <v>432</v>
      </c>
      <c r="G70" s="7"/>
      <c r="H70" s="6" t="n">
        <f aca="false">LEN(F70)</f>
        <v>23</v>
      </c>
      <c r="I70" s="6" t="n">
        <v>3</v>
      </c>
      <c r="J70" s="6" t="n">
        <v>5</v>
      </c>
      <c r="K70" s="7" t="s">
        <v>13</v>
      </c>
      <c r="L70" s="7" t="s">
        <v>433</v>
      </c>
      <c r="M70" s="7" t="s">
        <v>434</v>
      </c>
      <c r="N70" s="7" t="s">
        <v>342</v>
      </c>
      <c r="O70" s="7" t="s">
        <v>435</v>
      </c>
    </row>
    <row r="71" customFormat="false" ht="23.85" hidden="false" customHeight="false" outlineLevel="0" collapsed="false">
      <c r="A71" s="6" t="n">
        <v>151</v>
      </c>
      <c r="B71" s="7" t="s">
        <v>337</v>
      </c>
      <c r="C71" s="7" t="s">
        <v>389</v>
      </c>
      <c r="D71" s="7" t="s">
        <v>431</v>
      </c>
      <c r="E71" s="7" t="s">
        <v>97</v>
      </c>
      <c r="F71" s="7" t="s">
        <v>436</v>
      </c>
      <c r="G71" s="7"/>
      <c r="H71" s="6" t="n">
        <f aca="false">LEN(F71)</f>
        <v>24</v>
      </c>
      <c r="I71" s="6" t="n">
        <v>4</v>
      </c>
      <c r="J71" s="6" t="n">
        <v>5</v>
      </c>
      <c r="K71" s="7" t="s">
        <v>12</v>
      </c>
      <c r="L71" s="7" t="s">
        <v>437</v>
      </c>
      <c r="M71" s="7"/>
      <c r="N71" s="7" t="s">
        <v>342</v>
      </c>
      <c r="O71" s="7" t="s">
        <v>438</v>
      </c>
    </row>
    <row r="72" customFormat="false" ht="23.85" hidden="false" customHeight="false" outlineLevel="0" collapsed="false">
      <c r="A72" s="6" t="n">
        <v>152</v>
      </c>
      <c r="B72" s="7" t="s">
        <v>337</v>
      </c>
      <c r="C72" s="7" t="s">
        <v>389</v>
      </c>
      <c r="D72" s="7" t="s">
        <v>439</v>
      </c>
      <c r="E72" s="7" t="s">
        <v>97</v>
      </c>
      <c r="F72" s="7" t="s">
        <v>440</v>
      </c>
      <c r="G72" s="7"/>
      <c r="H72" s="6" t="n">
        <f aca="false">LEN(F72)</f>
        <v>24</v>
      </c>
      <c r="I72" s="6" t="n">
        <v>5</v>
      </c>
      <c r="J72" s="6" t="n">
        <v>5</v>
      </c>
      <c r="K72" s="7" t="s">
        <v>12</v>
      </c>
      <c r="L72" s="7" t="s">
        <v>233</v>
      </c>
      <c r="M72" s="7"/>
      <c r="N72" s="7" t="s">
        <v>441</v>
      </c>
      <c r="O72" s="7" t="s">
        <v>442</v>
      </c>
    </row>
    <row r="73" customFormat="false" ht="23.85" hidden="false" customHeight="false" outlineLevel="0" collapsed="false">
      <c r="A73" s="6" t="n">
        <v>153</v>
      </c>
      <c r="B73" s="7" t="s">
        <v>337</v>
      </c>
      <c r="C73" s="7" t="s">
        <v>389</v>
      </c>
      <c r="D73" s="7" t="s">
        <v>443</v>
      </c>
      <c r="E73" s="7" t="s">
        <v>97</v>
      </c>
      <c r="F73" s="7" t="s">
        <v>444</v>
      </c>
      <c r="G73" s="7"/>
      <c r="H73" s="6" t="n">
        <f aca="false">LEN(F73)</f>
        <v>36</v>
      </c>
      <c r="I73" s="6" t="n">
        <v>2</v>
      </c>
      <c r="J73" s="6" t="n">
        <v>5</v>
      </c>
      <c r="K73" s="7" t="s">
        <v>13</v>
      </c>
      <c r="L73" s="7" t="s">
        <v>445</v>
      </c>
      <c r="M73" s="7" t="s">
        <v>446</v>
      </c>
      <c r="N73" s="7" t="s">
        <v>441</v>
      </c>
      <c r="O73" s="7" t="s">
        <v>447</v>
      </c>
    </row>
    <row r="74" customFormat="false" ht="23.85" hidden="false" customHeight="false" outlineLevel="0" collapsed="false">
      <c r="A74" s="6" t="n">
        <v>154</v>
      </c>
      <c r="B74" s="7" t="s">
        <v>337</v>
      </c>
      <c r="C74" s="7" t="s">
        <v>389</v>
      </c>
      <c r="D74" s="7" t="s">
        <v>448</v>
      </c>
      <c r="E74" s="7" t="s">
        <v>97</v>
      </c>
      <c r="F74" s="7" t="s">
        <v>449</v>
      </c>
      <c r="G74" s="7"/>
      <c r="H74" s="6" t="n">
        <f aca="false">LEN(F74)</f>
        <v>36</v>
      </c>
      <c r="I74" s="6" t="n">
        <v>2</v>
      </c>
      <c r="J74" s="6" t="n">
        <v>5</v>
      </c>
      <c r="K74" s="7" t="s">
        <v>13</v>
      </c>
      <c r="L74" s="7" t="s">
        <v>450</v>
      </c>
      <c r="M74" s="7" t="s">
        <v>451</v>
      </c>
      <c r="N74" s="7" t="s">
        <v>342</v>
      </c>
      <c r="O74" s="7" t="s">
        <v>452</v>
      </c>
    </row>
    <row r="75" customFormat="false" ht="23.85" hidden="false" customHeight="false" outlineLevel="0" collapsed="false">
      <c r="A75" s="6" t="n">
        <v>157</v>
      </c>
      <c r="B75" s="7" t="s">
        <v>337</v>
      </c>
      <c r="C75" s="7" t="s">
        <v>453</v>
      </c>
      <c r="D75" s="7" t="s">
        <v>454</v>
      </c>
      <c r="E75" s="7" t="s">
        <v>97</v>
      </c>
      <c r="F75" s="7" t="s">
        <v>455</v>
      </c>
      <c r="G75" s="7" t="s">
        <v>456</v>
      </c>
      <c r="H75" s="6" t="n">
        <f aca="false">LEN(F75)</f>
        <v>45</v>
      </c>
      <c r="I75" s="6" t="n">
        <v>3</v>
      </c>
      <c r="J75" s="6" t="n">
        <v>5</v>
      </c>
      <c r="K75" s="7" t="s">
        <v>13</v>
      </c>
      <c r="L75" s="7" t="s">
        <v>457</v>
      </c>
      <c r="M75" s="7" t="s">
        <v>458</v>
      </c>
      <c r="N75" s="7" t="s">
        <v>441</v>
      </c>
      <c r="O75" s="7" t="s">
        <v>459</v>
      </c>
    </row>
    <row r="76" customFormat="false" ht="23.85" hidden="false" customHeight="false" outlineLevel="0" collapsed="false">
      <c r="A76" s="6" t="n">
        <v>167</v>
      </c>
      <c r="B76" s="7" t="s">
        <v>460</v>
      </c>
      <c r="C76" s="7" t="s">
        <v>461</v>
      </c>
      <c r="D76" s="7" t="s">
        <v>462</v>
      </c>
      <c r="E76" s="7" t="s">
        <v>79</v>
      </c>
      <c r="F76" s="7" t="s">
        <v>463</v>
      </c>
      <c r="G76" s="7" t="s">
        <v>464</v>
      </c>
      <c r="H76" s="6" t="n">
        <f aca="false">LEN(F76)</f>
        <v>54</v>
      </c>
      <c r="I76" s="6" t="n">
        <v>5</v>
      </c>
      <c r="J76" s="6" t="n">
        <v>5</v>
      </c>
      <c r="K76" s="7" t="s">
        <v>12</v>
      </c>
      <c r="L76" s="7" t="s">
        <v>465</v>
      </c>
      <c r="M76" s="7"/>
      <c r="N76" s="7" t="s">
        <v>466</v>
      </c>
      <c r="O76" s="7" t="s">
        <v>467</v>
      </c>
    </row>
    <row r="77" customFormat="false" ht="23.85" hidden="false" customHeight="false" outlineLevel="0" collapsed="false">
      <c r="A77" s="6" t="n">
        <v>170</v>
      </c>
      <c r="B77" s="7" t="s">
        <v>460</v>
      </c>
      <c r="C77" s="7" t="s">
        <v>468</v>
      </c>
      <c r="D77" s="7" t="s">
        <v>469</v>
      </c>
      <c r="E77" s="7" t="s">
        <v>79</v>
      </c>
      <c r="F77" s="7" t="s">
        <v>470</v>
      </c>
      <c r="G77" s="7" t="s">
        <v>471</v>
      </c>
      <c r="H77" s="6" t="n">
        <f aca="false">LEN(F77)</f>
        <v>12</v>
      </c>
      <c r="I77" s="6" t="n">
        <v>4</v>
      </c>
      <c r="J77" s="6" t="n">
        <v>5</v>
      </c>
      <c r="K77" s="7" t="s">
        <v>12</v>
      </c>
      <c r="L77" s="7" t="s">
        <v>472</v>
      </c>
      <c r="M77" s="7"/>
      <c r="N77" s="7" t="s">
        <v>466</v>
      </c>
      <c r="O77" s="7" t="s">
        <v>473</v>
      </c>
    </row>
    <row r="78" customFormat="false" ht="23.85" hidden="false" customHeight="false" outlineLevel="0" collapsed="false">
      <c r="A78" s="6" t="n">
        <v>171</v>
      </c>
      <c r="B78" s="7" t="s">
        <v>460</v>
      </c>
      <c r="C78" s="7" t="s">
        <v>468</v>
      </c>
      <c r="D78" s="7" t="s">
        <v>474</v>
      </c>
      <c r="E78" s="7" t="s">
        <v>79</v>
      </c>
      <c r="F78" s="7" t="s">
        <v>475</v>
      </c>
      <c r="G78" s="7" t="s">
        <v>476</v>
      </c>
      <c r="H78" s="6" t="n">
        <f aca="false">LEN(F78)</f>
        <v>14</v>
      </c>
      <c r="I78" s="6" t="n">
        <v>4</v>
      </c>
      <c r="J78" s="6" t="n">
        <v>5</v>
      </c>
      <c r="K78" s="7" t="s">
        <v>12</v>
      </c>
      <c r="L78" s="7" t="s">
        <v>477</v>
      </c>
      <c r="M78" s="7"/>
      <c r="N78" s="7" t="s">
        <v>466</v>
      </c>
      <c r="O78" s="7" t="s">
        <v>478</v>
      </c>
    </row>
    <row r="79" customFormat="false" ht="23.85" hidden="false" customHeight="false" outlineLevel="0" collapsed="false">
      <c r="A79" s="6" t="n">
        <v>173</v>
      </c>
      <c r="B79" s="7" t="s">
        <v>460</v>
      </c>
      <c r="C79" s="7" t="s">
        <v>468</v>
      </c>
      <c r="D79" s="7" t="s">
        <v>479</v>
      </c>
      <c r="E79" s="7" t="s">
        <v>79</v>
      </c>
      <c r="F79" s="7" t="s">
        <v>480</v>
      </c>
      <c r="G79" s="7" t="s">
        <v>481</v>
      </c>
      <c r="H79" s="6" t="n">
        <f aca="false">LEN(F79)</f>
        <v>19</v>
      </c>
      <c r="I79" s="6" t="n">
        <v>5</v>
      </c>
      <c r="J79" s="6" t="n">
        <v>5</v>
      </c>
      <c r="K79" s="7" t="s">
        <v>12</v>
      </c>
      <c r="L79" s="7" t="s">
        <v>482</v>
      </c>
      <c r="M79" s="7"/>
      <c r="N79" s="7" t="s">
        <v>466</v>
      </c>
      <c r="O79" s="7" t="s">
        <v>483</v>
      </c>
    </row>
    <row r="80" customFormat="false" ht="23.85" hidden="false" customHeight="false" outlineLevel="0" collapsed="false">
      <c r="A80" s="6" t="n">
        <v>174</v>
      </c>
      <c r="B80" s="7" t="s">
        <v>460</v>
      </c>
      <c r="C80" s="7" t="s">
        <v>468</v>
      </c>
      <c r="D80" s="7" t="s">
        <v>484</v>
      </c>
      <c r="E80" s="7" t="s">
        <v>79</v>
      </c>
      <c r="F80" s="7" t="s">
        <v>485</v>
      </c>
      <c r="G80" s="7" t="s">
        <v>486</v>
      </c>
      <c r="H80" s="6" t="n">
        <f aca="false">LEN(F80)</f>
        <v>20</v>
      </c>
      <c r="I80" s="6" t="n">
        <v>5</v>
      </c>
      <c r="J80" s="6" t="n">
        <v>5</v>
      </c>
      <c r="K80" s="7" t="s">
        <v>12</v>
      </c>
      <c r="L80" s="7" t="s">
        <v>487</v>
      </c>
      <c r="M80" s="7"/>
      <c r="N80" s="7" t="s">
        <v>466</v>
      </c>
      <c r="O80" s="7" t="s">
        <v>488</v>
      </c>
    </row>
    <row r="81" customFormat="false" ht="23.85" hidden="false" customHeight="false" outlineLevel="0" collapsed="false">
      <c r="A81" s="6" t="n">
        <v>177</v>
      </c>
      <c r="B81" s="7" t="s">
        <v>460</v>
      </c>
      <c r="C81" s="7" t="s">
        <v>468</v>
      </c>
      <c r="D81" s="7" t="s">
        <v>489</v>
      </c>
      <c r="E81" s="7" t="s">
        <v>79</v>
      </c>
      <c r="F81" s="7" t="s">
        <v>490</v>
      </c>
      <c r="G81" s="7"/>
      <c r="H81" s="6" t="n">
        <f aca="false">LEN(F81)</f>
        <v>15</v>
      </c>
      <c r="I81" s="6" t="n">
        <v>4</v>
      </c>
      <c r="J81" s="6" t="n">
        <v>5</v>
      </c>
      <c r="K81" s="7" t="s">
        <v>12</v>
      </c>
      <c r="L81" s="7" t="s">
        <v>477</v>
      </c>
      <c r="M81" s="7"/>
      <c r="N81" s="7" t="s">
        <v>466</v>
      </c>
      <c r="O81" s="7" t="s">
        <v>491</v>
      </c>
    </row>
    <row r="82" customFormat="false" ht="23.85" hidden="false" customHeight="false" outlineLevel="0" collapsed="false">
      <c r="A82" s="6" t="n">
        <v>182</v>
      </c>
      <c r="B82" s="7" t="s">
        <v>492</v>
      </c>
      <c r="C82" s="7" t="s">
        <v>493</v>
      </c>
      <c r="D82" s="7" t="s">
        <v>494</v>
      </c>
      <c r="E82" s="7" t="s">
        <v>79</v>
      </c>
      <c r="F82" s="7" t="s">
        <v>495</v>
      </c>
      <c r="G82" s="7" t="s">
        <v>496</v>
      </c>
      <c r="H82" s="6" t="n">
        <f aca="false">LEN(F82)</f>
        <v>57</v>
      </c>
      <c r="I82" s="6" t="n">
        <v>5</v>
      </c>
      <c r="J82" s="6" t="n">
        <v>5</v>
      </c>
      <c r="K82" s="7" t="s">
        <v>12</v>
      </c>
      <c r="L82" s="7" t="s">
        <v>497</v>
      </c>
      <c r="M82" s="7"/>
      <c r="N82" s="7" t="s">
        <v>498</v>
      </c>
      <c r="O82" s="7" t="s">
        <v>499</v>
      </c>
    </row>
    <row r="83" customFormat="false" ht="35.05" hidden="false" customHeight="false" outlineLevel="0" collapsed="false">
      <c r="A83" s="6" t="n">
        <v>190</v>
      </c>
      <c r="B83" s="7" t="s">
        <v>500</v>
      </c>
      <c r="C83" s="7" t="s">
        <v>501</v>
      </c>
      <c r="D83" s="7" t="s">
        <v>502</v>
      </c>
      <c r="E83" s="7" t="s">
        <v>79</v>
      </c>
      <c r="F83" s="7" t="s">
        <v>503</v>
      </c>
      <c r="G83" s="7"/>
      <c r="H83" s="6" t="n">
        <f aca="false">LEN(F83)</f>
        <v>112</v>
      </c>
      <c r="I83" s="6" t="n">
        <v>4</v>
      </c>
      <c r="J83" s="6" t="n">
        <v>5</v>
      </c>
      <c r="K83" s="7" t="s">
        <v>15</v>
      </c>
      <c r="L83" s="7" t="s">
        <v>504</v>
      </c>
      <c r="M83" s="7" t="s">
        <v>505</v>
      </c>
      <c r="N83" s="7" t="s">
        <v>506</v>
      </c>
      <c r="O83" s="7" t="s">
        <v>507</v>
      </c>
    </row>
    <row r="84" customFormat="false" ht="35.05" hidden="false" customHeight="false" outlineLevel="0" collapsed="false">
      <c r="A84" s="6" t="n">
        <v>193</v>
      </c>
      <c r="B84" s="7" t="s">
        <v>500</v>
      </c>
      <c r="C84" s="7" t="s">
        <v>508</v>
      </c>
      <c r="D84" s="7" t="s">
        <v>509</v>
      </c>
      <c r="E84" s="7" t="s">
        <v>79</v>
      </c>
      <c r="F84" s="7" t="s">
        <v>510</v>
      </c>
      <c r="G84" s="7"/>
      <c r="H84" s="6" t="n">
        <f aca="false">LEN(F84)</f>
        <v>81</v>
      </c>
      <c r="I84" s="6" t="n">
        <v>3</v>
      </c>
      <c r="J84" s="6" t="n">
        <v>5</v>
      </c>
      <c r="K84" s="7" t="s">
        <v>13</v>
      </c>
      <c r="L84" s="7" t="s">
        <v>511</v>
      </c>
      <c r="M84" s="7" t="s">
        <v>512</v>
      </c>
      <c r="N84" s="7" t="s">
        <v>506</v>
      </c>
      <c r="O84" s="7" t="s">
        <v>513</v>
      </c>
    </row>
    <row r="85" customFormat="false" ht="35.05" hidden="false" customHeight="false" outlineLevel="0" collapsed="false">
      <c r="A85" s="6" t="n">
        <v>195</v>
      </c>
      <c r="B85" s="7" t="s">
        <v>514</v>
      </c>
      <c r="C85" s="7" t="s">
        <v>515</v>
      </c>
      <c r="D85" s="7" t="s">
        <v>516</v>
      </c>
      <c r="E85" s="7" t="s">
        <v>79</v>
      </c>
      <c r="F85" s="7" t="s">
        <v>517</v>
      </c>
      <c r="G85" s="7"/>
      <c r="H85" s="6" t="n">
        <f aca="false">LEN(F85)</f>
        <v>124</v>
      </c>
      <c r="I85" s="6" t="n">
        <v>5</v>
      </c>
      <c r="J85" s="6" t="n">
        <v>5</v>
      </c>
      <c r="K85" s="7" t="s">
        <v>12</v>
      </c>
      <c r="L85" s="7" t="s">
        <v>518</v>
      </c>
      <c r="M85" s="7"/>
      <c r="N85" s="7" t="s">
        <v>519</v>
      </c>
      <c r="O85" s="7" t="s">
        <v>373</v>
      </c>
    </row>
    <row r="86" customFormat="false" ht="23.85" hidden="false" customHeight="false" outlineLevel="0" collapsed="false">
      <c r="A86" s="6" t="n">
        <v>204</v>
      </c>
      <c r="B86" s="7" t="s">
        <v>514</v>
      </c>
      <c r="C86" s="7" t="s">
        <v>520</v>
      </c>
      <c r="D86" s="7" t="s">
        <v>502</v>
      </c>
      <c r="E86" s="7" t="s">
        <v>79</v>
      </c>
      <c r="F86" s="7" t="s">
        <v>521</v>
      </c>
      <c r="G86" s="7"/>
      <c r="H86" s="6" t="n">
        <f aca="false">LEN(F86)</f>
        <v>106</v>
      </c>
      <c r="I86" s="6" t="n">
        <v>5</v>
      </c>
      <c r="J86" s="6" t="n">
        <v>5</v>
      </c>
      <c r="K86" s="7" t="s">
        <v>12</v>
      </c>
      <c r="L86" s="7" t="s">
        <v>522</v>
      </c>
      <c r="M86" s="7"/>
      <c r="N86" s="7" t="s">
        <v>519</v>
      </c>
      <c r="O86" s="7" t="s">
        <v>523</v>
      </c>
    </row>
    <row r="87" customFormat="false" ht="15" hidden="false" customHeight="false" outlineLevel="0" collapsed="false">
      <c r="A87" s="6" t="n">
        <v>206</v>
      </c>
      <c r="B87" s="7" t="s">
        <v>514</v>
      </c>
      <c r="C87" s="7" t="s">
        <v>520</v>
      </c>
      <c r="D87" s="7" t="s">
        <v>524</v>
      </c>
      <c r="E87" s="7" t="s">
        <v>79</v>
      </c>
      <c r="F87" s="7" t="s">
        <v>525</v>
      </c>
      <c r="G87" s="7"/>
      <c r="H87" s="6" t="n">
        <f aca="false">LEN(F87)</f>
        <v>56</v>
      </c>
      <c r="I87" s="6" t="n">
        <v>5</v>
      </c>
      <c r="J87" s="6" t="n">
        <v>5</v>
      </c>
      <c r="K87" s="7" t="s">
        <v>12</v>
      </c>
      <c r="L87" s="7" t="s">
        <v>526</v>
      </c>
      <c r="M87" s="7"/>
      <c r="N87" s="7" t="s">
        <v>519</v>
      </c>
      <c r="O87" s="7" t="s">
        <v>527</v>
      </c>
    </row>
    <row r="88" customFormat="false" ht="23.85" hidden="false" customHeight="false" outlineLevel="0" collapsed="false">
      <c r="A88" s="6" t="n">
        <v>207</v>
      </c>
      <c r="B88" s="7" t="s">
        <v>514</v>
      </c>
      <c r="C88" s="7" t="s">
        <v>520</v>
      </c>
      <c r="D88" s="7" t="s">
        <v>528</v>
      </c>
      <c r="E88" s="7" t="s">
        <v>79</v>
      </c>
      <c r="F88" s="7" t="s">
        <v>529</v>
      </c>
      <c r="G88" s="7"/>
      <c r="H88" s="6" t="n">
        <f aca="false">LEN(F88)</f>
        <v>95</v>
      </c>
      <c r="I88" s="6" t="n">
        <v>5</v>
      </c>
      <c r="J88" s="6" t="n">
        <v>5</v>
      </c>
      <c r="K88" s="7" t="s">
        <v>12</v>
      </c>
      <c r="L88" s="7" t="s">
        <v>530</v>
      </c>
      <c r="M88" s="7"/>
      <c r="N88" s="7" t="s">
        <v>519</v>
      </c>
      <c r="O88" s="7" t="s">
        <v>531</v>
      </c>
    </row>
    <row r="89" customFormat="false" ht="23.85" hidden="false" customHeight="false" outlineLevel="0" collapsed="false">
      <c r="A89" s="6" t="n">
        <v>215</v>
      </c>
      <c r="B89" s="7" t="s">
        <v>520</v>
      </c>
      <c r="C89" s="7" t="s">
        <v>532</v>
      </c>
      <c r="D89" s="7" t="s">
        <v>533</v>
      </c>
      <c r="E89" s="7" t="s">
        <v>79</v>
      </c>
      <c r="F89" s="7" t="s">
        <v>534</v>
      </c>
      <c r="G89" s="7"/>
      <c r="H89" s="6" t="n">
        <f aca="false">LEN(F89)</f>
        <v>57</v>
      </c>
      <c r="I89" s="6" t="n">
        <v>3</v>
      </c>
      <c r="J89" s="6" t="n">
        <v>5</v>
      </c>
      <c r="K89" s="7" t="s">
        <v>13</v>
      </c>
      <c r="L89" s="7" t="s">
        <v>535</v>
      </c>
      <c r="M89" s="7" t="s">
        <v>536</v>
      </c>
      <c r="N89" s="7" t="s">
        <v>537</v>
      </c>
      <c r="O89" s="7" t="s">
        <v>538</v>
      </c>
    </row>
    <row r="90" customFormat="false" ht="15" hidden="false" customHeight="false" outlineLevel="0" collapsed="false">
      <c r="A90" s="6" t="n">
        <v>216</v>
      </c>
      <c r="B90" s="7" t="s">
        <v>520</v>
      </c>
      <c r="C90" s="7" t="s">
        <v>532</v>
      </c>
      <c r="D90" s="7" t="s">
        <v>539</v>
      </c>
      <c r="E90" s="7" t="s">
        <v>79</v>
      </c>
      <c r="F90" s="7" t="s">
        <v>540</v>
      </c>
      <c r="G90" s="7"/>
      <c r="H90" s="6" t="n">
        <f aca="false">LEN(F90)</f>
        <v>39</v>
      </c>
      <c r="I90" s="6" t="n">
        <v>5</v>
      </c>
      <c r="J90" s="6" t="n">
        <v>5</v>
      </c>
      <c r="K90" s="7" t="s">
        <v>12</v>
      </c>
      <c r="L90" s="7" t="s">
        <v>541</v>
      </c>
      <c r="M90" s="7"/>
      <c r="N90" s="7" t="s">
        <v>537</v>
      </c>
      <c r="O90" s="7" t="s">
        <v>542</v>
      </c>
    </row>
    <row r="91" customFormat="false" ht="23.85" hidden="false" customHeight="false" outlineLevel="0" collapsed="false">
      <c r="A91" s="6" t="n">
        <v>1</v>
      </c>
      <c r="B91" s="7" t="s">
        <v>76</v>
      </c>
      <c r="C91" s="7" t="s">
        <v>543</v>
      </c>
      <c r="D91" s="7" t="s">
        <v>544</v>
      </c>
      <c r="E91" s="7" t="s">
        <v>79</v>
      </c>
      <c r="F91" s="7" t="s">
        <v>545</v>
      </c>
      <c r="G91" s="7"/>
      <c r="H91" s="6" t="n">
        <f aca="false">LEN(F91)</f>
        <v>10</v>
      </c>
      <c r="I91" s="6" t="n">
        <v>5</v>
      </c>
      <c r="J91" s="6" t="n">
        <v>4</v>
      </c>
      <c r="K91" s="7" t="s">
        <v>12</v>
      </c>
      <c r="L91" s="7" t="s">
        <v>546</v>
      </c>
      <c r="M91" s="7"/>
      <c r="N91" s="7" t="s">
        <v>90</v>
      </c>
      <c r="O91" s="7" t="s">
        <v>547</v>
      </c>
    </row>
    <row r="92" customFormat="false" ht="23.85" hidden="false" customHeight="false" outlineLevel="0" collapsed="false">
      <c r="A92" s="6" t="n">
        <v>2</v>
      </c>
      <c r="B92" s="7" t="s">
        <v>76</v>
      </c>
      <c r="C92" s="7" t="s">
        <v>543</v>
      </c>
      <c r="D92" s="7" t="s">
        <v>548</v>
      </c>
      <c r="E92" s="7" t="s">
        <v>79</v>
      </c>
      <c r="F92" s="7" t="s">
        <v>515</v>
      </c>
      <c r="G92" s="7"/>
      <c r="H92" s="6" t="n">
        <f aca="false">LEN(F92)</f>
        <v>5</v>
      </c>
      <c r="I92" s="6" t="n">
        <v>5</v>
      </c>
      <c r="J92" s="6" t="n">
        <v>4</v>
      </c>
      <c r="K92" s="7" t="s">
        <v>12</v>
      </c>
      <c r="L92" s="7" t="s">
        <v>549</v>
      </c>
      <c r="M92" s="7"/>
      <c r="N92" s="7" t="s">
        <v>90</v>
      </c>
      <c r="O92" s="7" t="s">
        <v>550</v>
      </c>
    </row>
    <row r="93" customFormat="false" ht="23.85" hidden="false" customHeight="false" outlineLevel="0" collapsed="false">
      <c r="A93" s="6" t="n">
        <v>3</v>
      </c>
      <c r="B93" s="7" t="s">
        <v>76</v>
      </c>
      <c r="C93" s="7" t="s">
        <v>543</v>
      </c>
      <c r="D93" s="7" t="s">
        <v>551</v>
      </c>
      <c r="E93" s="7" t="s">
        <v>79</v>
      </c>
      <c r="F93" s="7" t="s">
        <v>324</v>
      </c>
      <c r="G93" s="7"/>
      <c r="H93" s="6" t="n">
        <f aca="false">LEN(F93)</f>
        <v>8</v>
      </c>
      <c r="I93" s="6" t="n">
        <v>5</v>
      </c>
      <c r="J93" s="6" t="n">
        <v>4</v>
      </c>
      <c r="K93" s="7" t="s">
        <v>12</v>
      </c>
      <c r="L93" s="7" t="s">
        <v>552</v>
      </c>
      <c r="M93" s="7"/>
      <c r="N93" s="7" t="s">
        <v>90</v>
      </c>
      <c r="O93" s="7" t="s">
        <v>553</v>
      </c>
    </row>
    <row r="94" customFormat="false" ht="23.85" hidden="false" customHeight="false" outlineLevel="0" collapsed="false">
      <c r="A94" s="6" t="n">
        <v>5</v>
      </c>
      <c r="B94" s="7" t="s">
        <v>76</v>
      </c>
      <c r="C94" s="7" t="s">
        <v>543</v>
      </c>
      <c r="D94" s="7" t="s">
        <v>554</v>
      </c>
      <c r="E94" s="7" t="s">
        <v>79</v>
      </c>
      <c r="F94" s="7" t="s">
        <v>492</v>
      </c>
      <c r="G94" s="7"/>
      <c r="H94" s="6" t="n">
        <f aca="false">LEN(F94)</f>
        <v>10</v>
      </c>
      <c r="I94" s="6" t="n">
        <v>4</v>
      </c>
      <c r="J94" s="6" t="n">
        <v>4</v>
      </c>
      <c r="K94" s="7" t="s">
        <v>12</v>
      </c>
      <c r="L94" s="7" t="s">
        <v>555</v>
      </c>
      <c r="M94" s="7"/>
      <c r="N94" s="7" t="s">
        <v>90</v>
      </c>
      <c r="O94" s="7" t="s">
        <v>556</v>
      </c>
    </row>
    <row r="95" customFormat="false" ht="23.85" hidden="false" customHeight="false" outlineLevel="0" collapsed="false">
      <c r="A95" s="6" t="n">
        <v>7</v>
      </c>
      <c r="B95" s="7" t="s">
        <v>76</v>
      </c>
      <c r="C95" s="7" t="s">
        <v>543</v>
      </c>
      <c r="D95" s="7" t="s">
        <v>557</v>
      </c>
      <c r="E95" s="7" t="s">
        <v>79</v>
      </c>
      <c r="F95" s="7" t="s">
        <v>500</v>
      </c>
      <c r="G95" s="7"/>
      <c r="H95" s="6" t="n">
        <f aca="false">LEN(F95)</f>
        <v>11</v>
      </c>
      <c r="I95" s="6" t="n">
        <v>5</v>
      </c>
      <c r="J95" s="6" t="n">
        <v>4</v>
      </c>
      <c r="K95" s="7" t="s">
        <v>12</v>
      </c>
      <c r="L95" s="7" t="s">
        <v>549</v>
      </c>
      <c r="M95" s="7"/>
      <c r="N95" s="7" t="s">
        <v>90</v>
      </c>
      <c r="O95" s="7" t="s">
        <v>558</v>
      </c>
    </row>
    <row r="96" customFormat="false" ht="23.85" hidden="false" customHeight="false" outlineLevel="0" collapsed="false">
      <c r="A96" s="6" t="n">
        <v>8</v>
      </c>
      <c r="B96" s="7" t="s">
        <v>76</v>
      </c>
      <c r="C96" s="7" t="s">
        <v>543</v>
      </c>
      <c r="D96" s="7" t="s">
        <v>559</v>
      </c>
      <c r="E96" s="7" t="s">
        <v>79</v>
      </c>
      <c r="F96" s="7" t="s">
        <v>199</v>
      </c>
      <c r="G96" s="7"/>
      <c r="H96" s="6" t="n">
        <f aca="false">LEN(F96)</f>
        <v>9</v>
      </c>
      <c r="I96" s="6" t="n">
        <v>4</v>
      </c>
      <c r="J96" s="6" t="n">
        <v>4</v>
      </c>
      <c r="K96" s="7" t="s">
        <v>12</v>
      </c>
      <c r="L96" s="7" t="s">
        <v>560</v>
      </c>
      <c r="M96" s="7"/>
      <c r="N96" s="7" t="s">
        <v>90</v>
      </c>
      <c r="O96" s="7" t="s">
        <v>561</v>
      </c>
    </row>
    <row r="97" customFormat="false" ht="23.85" hidden="false" customHeight="false" outlineLevel="0" collapsed="false">
      <c r="A97" s="6" t="n">
        <v>9</v>
      </c>
      <c r="B97" s="7" t="s">
        <v>76</v>
      </c>
      <c r="C97" s="7" t="s">
        <v>77</v>
      </c>
      <c r="D97" s="7" t="s">
        <v>562</v>
      </c>
      <c r="E97" s="7" t="s">
        <v>79</v>
      </c>
      <c r="F97" s="7" t="s">
        <v>563</v>
      </c>
      <c r="G97" s="7"/>
      <c r="H97" s="6" t="n">
        <f aca="false">LEN(F97)</f>
        <v>9</v>
      </c>
      <c r="I97" s="6" t="n">
        <v>5</v>
      </c>
      <c r="J97" s="6" t="n">
        <v>4</v>
      </c>
      <c r="K97" s="8" t="s">
        <v>12</v>
      </c>
      <c r="L97" s="7" t="s">
        <v>564</v>
      </c>
      <c r="M97" s="7"/>
      <c r="N97" s="7" t="s">
        <v>90</v>
      </c>
      <c r="O97" s="7" t="s">
        <v>565</v>
      </c>
    </row>
    <row r="98" customFormat="false" ht="23.85" hidden="false" customHeight="false" outlineLevel="0" collapsed="false">
      <c r="A98" s="6" t="n">
        <v>11</v>
      </c>
      <c r="B98" s="7" t="s">
        <v>76</v>
      </c>
      <c r="C98" s="7" t="s">
        <v>566</v>
      </c>
      <c r="D98" s="7" t="s">
        <v>567</v>
      </c>
      <c r="E98" s="7" t="s">
        <v>79</v>
      </c>
      <c r="F98" s="7" t="s">
        <v>568</v>
      </c>
      <c r="G98" s="7"/>
      <c r="H98" s="6" t="n">
        <f aca="false">LEN(F98)</f>
        <v>13</v>
      </c>
      <c r="I98" s="6" t="n">
        <v>4</v>
      </c>
      <c r="J98" s="6" t="n">
        <v>4</v>
      </c>
      <c r="K98" s="8" t="s">
        <v>14</v>
      </c>
      <c r="L98" s="7" t="s">
        <v>569</v>
      </c>
      <c r="M98" s="7" t="s">
        <v>570</v>
      </c>
      <c r="N98" s="7" t="s">
        <v>90</v>
      </c>
      <c r="O98" s="7" t="s">
        <v>571</v>
      </c>
    </row>
    <row r="99" customFormat="false" ht="23.85" hidden="false" customHeight="false" outlineLevel="0" collapsed="false">
      <c r="A99" s="6" t="n">
        <v>12</v>
      </c>
      <c r="B99" s="7" t="s">
        <v>76</v>
      </c>
      <c r="C99" s="7" t="s">
        <v>572</v>
      </c>
      <c r="D99" s="7" t="s">
        <v>573</v>
      </c>
      <c r="E99" s="7" t="s">
        <v>79</v>
      </c>
      <c r="F99" s="7" t="s">
        <v>574</v>
      </c>
      <c r="G99" s="7"/>
      <c r="H99" s="6" t="n">
        <f aca="false">LEN(F99)</f>
        <v>21</v>
      </c>
      <c r="I99" s="6" t="n">
        <v>5</v>
      </c>
      <c r="J99" s="6" t="n">
        <v>4</v>
      </c>
      <c r="K99" s="8" t="s">
        <v>14</v>
      </c>
      <c r="L99" s="7" t="s">
        <v>575</v>
      </c>
      <c r="M99" s="7"/>
      <c r="N99" s="7" t="s">
        <v>90</v>
      </c>
      <c r="O99" s="7" t="s">
        <v>576</v>
      </c>
    </row>
    <row r="100" customFormat="false" ht="23.85" hidden="false" customHeight="false" outlineLevel="0" collapsed="false">
      <c r="A100" s="6" t="n">
        <v>27</v>
      </c>
      <c r="B100" s="7" t="s">
        <v>76</v>
      </c>
      <c r="C100" s="7" t="s">
        <v>577</v>
      </c>
      <c r="D100" s="7" t="s">
        <v>578</v>
      </c>
      <c r="E100" s="7" t="s">
        <v>79</v>
      </c>
      <c r="F100" s="7" t="s">
        <v>112</v>
      </c>
      <c r="G100" s="7"/>
      <c r="H100" s="6" t="n">
        <f aca="false">LEN(F100)</f>
        <v>43</v>
      </c>
      <c r="I100" s="6" t="n">
        <v>3</v>
      </c>
      <c r="J100" s="6" t="n">
        <v>4</v>
      </c>
      <c r="K100" s="7" t="s">
        <v>12</v>
      </c>
      <c r="L100" s="7" t="s">
        <v>579</v>
      </c>
      <c r="M100" s="7"/>
      <c r="N100" s="7" t="s">
        <v>90</v>
      </c>
      <c r="O100" s="7" t="s">
        <v>580</v>
      </c>
    </row>
    <row r="101" customFormat="false" ht="23.85" hidden="false" customHeight="false" outlineLevel="0" collapsed="false">
      <c r="A101" s="6" t="n">
        <v>32</v>
      </c>
      <c r="B101" s="7" t="s">
        <v>76</v>
      </c>
      <c r="C101" s="7" t="s">
        <v>581</v>
      </c>
      <c r="D101" s="7" t="s">
        <v>582</v>
      </c>
      <c r="E101" s="7" t="s">
        <v>583</v>
      </c>
      <c r="F101" s="7" t="s">
        <v>584</v>
      </c>
      <c r="G101" s="7"/>
      <c r="H101" s="6" t="n">
        <f aca="false">LEN(F101)</f>
        <v>4</v>
      </c>
      <c r="I101" s="6" t="n">
        <v>5</v>
      </c>
      <c r="J101" s="6" t="n">
        <v>4</v>
      </c>
      <c r="K101" s="8" t="s">
        <v>14</v>
      </c>
      <c r="L101" s="7" t="s">
        <v>585</v>
      </c>
      <c r="M101" s="7" t="s">
        <v>586</v>
      </c>
      <c r="N101" s="7" t="s">
        <v>90</v>
      </c>
      <c r="O101" s="7" t="s">
        <v>587</v>
      </c>
    </row>
    <row r="102" customFormat="false" ht="23.85" hidden="false" customHeight="false" outlineLevel="0" collapsed="false">
      <c r="A102" s="6" t="n">
        <v>33</v>
      </c>
      <c r="B102" s="7" t="s">
        <v>146</v>
      </c>
      <c r="C102" s="7" t="s">
        <v>588</v>
      </c>
      <c r="D102" s="7" t="s">
        <v>589</v>
      </c>
      <c r="E102" s="7" t="s">
        <v>79</v>
      </c>
      <c r="F102" s="7" t="s">
        <v>590</v>
      </c>
      <c r="G102" s="7"/>
      <c r="H102" s="6" t="n">
        <f aca="false">LEN(F102)</f>
        <v>27</v>
      </c>
      <c r="I102" s="6" t="n">
        <v>4</v>
      </c>
      <c r="J102" s="6" t="n">
        <v>4</v>
      </c>
      <c r="K102" s="8" t="s">
        <v>14</v>
      </c>
      <c r="L102" s="7" t="s">
        <v>591</v>
      </c>
      <c r="M102" s="7" t="s">
        <v>592</v>
      </c>
      <c r="N102" s="7" t="s">
        <v>151</v>
      </c>
      <c r="O102" s="7" t="s">
        <v>593</v>
      </c>
    </row>
    <row r="103" customFormat="false" ht="23.85" hidden="false" customHeight="false" outlineLevel="0" collapsed="false">
      <c r="A103" s="6" t="n">
        <v>35</v>
      </c>
      <c r="B103" s="7" t="s">
        <v>146</v>
      </c>
      <c r="C103" s="7" t="s">
        <v>594</v>
      </c>
      <c r="D103" s="7" t="s">
        <v>148</v>
      </c>
      <c r="E103" s="7" t="s">
        <v>79</v>
      </c>
      <c r="F103" s="7" t="s">
        <v>595</v>
      </c>
      <c r="G103" s="7"/>
      <c r="H103" s="6" t="n">
        <f aca="false">LEN(F103)</f>
        <v>20</v>
      </c>
      <c r="I103" s="6" t="n">
        <v>4</v>
      </c>
      <c r="J103" s="6" t="n">
        <v>4</v>
      </c>
      <c r="K103" s="8" t="s">
        <v>14</v>
      </c>
      <c r="L103" s="7" t="s">
        <v>596</v>
      </c>
      <c r="M103" s="7"/>
      <c r="N103" s="7" t="s">
        <v>151</v>
      </c>
      <c r="O103" s="7" t="s">
        <v>597</v>
      </c>
    </row>
    <row r="104" customFormat="false" ht="15" hidden="false" customHeight="false" outlineLevel="0" collapsed="false">
      <c r="A104" s="6" t="n">
        <v>38</v>
      </c>
      <c r="B104" s="7" t="s">
        <v>146</v>
      </c>
      <c r="C104" s="7" t="s">
        <v>598</v>
      </c>
      <c r="D104" s="7" t="s">
        <v>599</v>
      </c>
      <c r="E104" s="7" t="s">
        <v>79</v>
      </c>
      <c r="F104" s="7" t="s">
        <v>600</v>
      </c>
      <c r="G104" s="7"/>
      <c r="H104" s="6" t="n">
        <f aca="false">LEN(F104)</f>
        <v>15</v>
      </c>
      <c r="I104" s="6" t="n">
        <v>5</v>
      </c>
      <c r="J104" s="6" t="n">
        <v>4</v>
      </c>
      <c r="K104" s="8" t="s">
        <v>14</v>
      </c>
      <c r="L104" s="7" t="s">
        <v>601</v>
      </c>
      <c r="M104" s="7"/>
      <c r="N104" s="7" t="s">
        <v>151</v>
      </c>
      <c r="O104" s="7" t="s">
        <v>602</v>
      </c>
    </row>
    <row r="105" customFormat="false" ht="15" hidden="false" customHeight="false" outlineLevel="0" collapsed="false">
      <c r="A105" s="6" t="n">
        <v>44</v>
      </c>
      <c r="B105" s="7" t="s">
        <v>157</v>
      </c>
      <c r="C105" s="7" t="s">
        <v>603</v>
      </c>
      <c r="D105" s="7" t="s">
        <v>604</v>
      </c>
      <c r="E105" s="7" t="s">
        <v>79</v>
      </c>
      <c r="F105" s="7" t="s">
        <v>605</v>
      </c>
      <c r="G105" s="7"/>
      <c r="H105" s="6" t="n">
        <f aca="false">LEN(F105)</f>
        <v>9</v>
      </c>
      <c r="I105" s="6" t="n">
        <v>5</v>
      </c>
      <c r="J105" s="6" t="n">
        <v>4</v>
      </c>
      <c r="K105" s="8" t="s">
        <v>14</v>
      </c>
      <c r="L105" s="7" t="s">
        <v>606</v>
      </c>
      <c r="M105" s="7"/>
      <c r="N105" s="7" t="s">
        <v>164</v>
      </c>
      <c r="O105" s="7" t="s">
        <v>607</v>
      </c>
    </row>
    <row r="106" customFormat="false" ht="15" hidden="false" customHeight="false" outlineLevel="0" collapsed="false">
      <c r="A106" s="6" t="n">
        <v>46</v>
      </c>
      <c r="B106" s="7" t="s">
        <v>157</v>
      </c>
      <c r="C106" s="7" t="s">
        <v>603</v>
      </c>
      <c r="D106" s="7" t="s">
        <v>604</v>
      </c>
      <c r="E106" s="7" t="s">
        <v>79</v>
      </c>
      <c r="F106" s="7" t="s">
        <v>608</v>
      </c>
      <c r="G106" s="7"/>
      <c r="H106" s="6" t="n">
        <f aca="false">LEN(F106)</f>
        <v>8</v>
      </c>
      <c r="I106" s="6" t="n">
        <v>5</v>
      </c>
      <c r="J106" s="6" t="n">
        <v>4</v>
      </c>
      <c r="K106" s="8" t="s">
        <v>14</v>
      </c>
      <c r="L106" s="7" t="s">
        <v>606</v>
      </c>
      <c r="M106" s="7"/>
      <c r="N106" s="7" t="s">
        <v>164</v>
      </c>
      <c r="O106" s="7" t="s">
        <v>542</v>
      </c>
    </row>
    <row r="107" customFormat="false" ht="15" hidden="false" customHeight="false" outlineLevel="0" collapsed="false">
      <c r="A107" s="6" t="n">
        <v>51</v>
      </c>
      <c r="B107" s="7" t="s">
        <v>157</v>
      </c>
      <c r="C107" s="7" t="s">
        <v>603</v>
      </c>
      <c r="D107" s="7" t="s">
        <v>604</v>
      </c>
      <c r="E107" s="7" t="s">
        <v>79</v>
      </c>
      <c r="F107" s="7" t="s">
        <v>609</v>
      </c>
      <c r="G107" s="7"/>
      <c r="H107" s="6" t="n">
        <f aca="false">LEN(F107)</f>
        <v>7</v>
      </c>
      <c r="I107" s="6" t="n">
        <v>5</v>
      </c>
      <c r="J107" s="6" t="n">
        <v>4</v>
      </c>
      <c r="K107" s="8" t="s">
        <v>14</v>
      </c>
      <c r="L107" s="7" t="s">
        <v>606</v>
      </c>
      <c r="M107" s="7"/>
      <c r="N107" s="7" t="s">
        <v>164</v>
      </c>
      <c r="O107" s="7" t="s">
        <v>610</v>
      </c>
    </row>
    <row r="108" customFormat="false" ht="15" hidden="false" customHeight="false" outlineLevel="0" collapsed="false">
      <c r="A108" s="6" t="n">
        <v>52</v>
      </c>
      <c r="B108" s="7" t="s">
        <v>157</v>
      </c>
      <c r="C108" s="7" t="s">
        <v>603</v>
      </c>
      <c r="D108" s="7" t="s">
        <v>604</v>
      </c>
      <c r="E108" s="7" t="s">
        <v>79</v>
      </c>
      <c r="F108" s="7" t="s">
        <v>611</v>
      </c>
      <c r="G108" s="7"/>
      <c r="H108" s="6" t="n">
        <f aca="false">LEN(F108)</f>
        <v>11</v>
      </c>
      <c r="I108" s="6" t="n">
        <v>5</v>
      </c>
      <c r="J108" s="6" t="n">
        <v>4</v>
      </c>
      <c r="K108" s="8" t="s">
        <v>14</v>
      </c>
      <c r="L108" s="7" t="s">
        <v>606</v>
      </c>
      <c r="M108" s="7"/>
      <c r="N108" s="7" t="s">
        <v>164</v>
      </c>
      <c r="O108" s="7" t="s">
        <v>612</v>
      </c>
    </row>
    <row r="109" customFormat="false" ht="23.85" hidden="false" customHeight="false" outlineLevel="0" collapsed="false">
      <c r="A109" s="6" t="n">
        <v>69</v>
      </c>
      <c r="B109" s="7" t="s">
        <v>157</v>
      </c>
      <c r="C109" s="7" t="s">
        <v>613</v>
      </c>
      <c r="D109" s="7" t="s">
        <v>614</v>
      </c>
      <c r="E109" s="7" t="s">
        <v>79</v>
      </c>
      <c r="F109" s="7" t="s">
        <v>615</v>
      </c>
      <c r="G109" s="7"/>
      <c r="H109" s="6" t="n">
        <f aca="false">LEN(F109)</f>
        <v>21</v>
      </c>
      <c r="I109" s="6" t="n">
        <v>5</v>
      </c>
      <c r="J109" s="6" t="n">
        <v>4</v>
      </c>
      <c r="K109" s="8" t="s">
        <v>14</v>
      </c>
      <c r="L109" s="7" t="s">
        <v>616</v>
      </c>
      <c r="M109" s="7"/>
      <c r="N109" s="7" t="s">
        <v>164</v>
      </c>
      <c r="O109" s="7" t="s">
        <v>617</v>
      </c>
    </row>
    <row r="110" customFormat="false" ht="15" hidden="false" customHeight="false" outlineLevel="0" collapsed="false">
      <c r="A110" s="6" t="n">
        <v>74</v>
      </c>
      <c r="B110" s="7" t="s">
        <v>157</v>
      </c>
      <c r="C110" s="7" t="s">
        <v>618</v>
      </c>
      <c r="D110" s="7" t="s">
        <v>619</v>
      </c>
      <c r="E110" s="7" t="s">
        <v>79</v>
      </c>
      <c r="F110" s="7" t="s">
        <v>620</v>
      </c>
      <c r="G110" s="7"/>
      <c r="H110" s="6" t="n">
        <f aca="false">LEN(F110)</f>
        <v>21</v>
      </c>
      <c r="I110" s="6" t="n">
        <v>5</v>
      </c>
      <c r="J110" s="6" t="n">
        <v>4</v>
      </c>
      <c r="K110" s="8" t="s">
        <v>14</v>
      </c>
      <c r="L110" s="7" t="s">
        <v>621</v>
      </c>
      <c r="M110" s="7"/>
      <c r="N110" s="7" t="s">
        <v>164</v>
      </c>
      <c r="O110" s="7" t="s">
        <v>622</v>
      </c>
    </row>
    <row r="111" customFormat="false" ht="15" hidden="false" customHeight="false" outlineLevel="0" collapsed="false">
      <c r="A111" s="6" t="n">
        <v>75</v>
      </c>
      <c r="B111" s="7" t="s">
        <v>157</v>
      </c>
      <c r="C111" s="7" t="s">
        <v>623</v>
      </c>
      <c r="D111" s="7" t="s">
        <v>624</v>
      </c>
      <c r="E111" s="7" t="s">
        <v>79</v>
      </c>
      <c r="F111" s="7" t="s">
        <v>625</v>
      </c>
      <c r="G111" s="7"/>
      <c r="H111" s="6" t="n">
        <f aca="false">LEN(F111)</f>
        <v>21</v>
      </c>
      <c r="I111" s="6" t="n">
        <v>5</v>
      </c>
      <c r="J111" s="6" t="n">
        <v>4</v>
      </c>
      <c r="K111" s="8" t="s">
        <v>14</v>
      </c>
      <c r="L111" s="7" t="s">
        <v>621</v>
      </c>
      <c r="M111" s="7"/>
      <c r="N111" s="7" t="s">
        <v>164</v>
      </c>
      <c r="O111" s="7" t="s">
        <v>626</v>
      </c>
    </row>
    <row r="112" customFormat="false" ht="15" hidden="false" customHeight="false" outlineLevel="0" collapsed="false">
      <c r="A112" s="6" t="n">
        <v>76</v>
      </c>
      <c r="B112" s="7" t="s">
        <v>157</v>
      </c>
      <c r="C112" s="7" t="s">
        <v>627</v>
      </c>
      <c r="D112" s="7" t="s">
        <v>628</v>
      </c>
      <c r="E112" s="7" t="s">
        <v>79</v>
      </c>
      <c r="F112" s="7" t="s">
        <v>629</v>
      </c>
      <c r="G112" s="7"/>
      <c r="H112" s="6" t="n">
        <f aca="false">LEN(F112)</f>
        <v>23</v>
      </c>
      <c r="I112" s="6" t="n">
        <v>5</v>
      </c>
      <c r="J112" s="6" t="n">
        <v>4</v>
      </c>
      <c r="K112" s="8" t="s">
        <v>14</v>
      </c>
      <c r="L112" s="7" t="s">
        <v>630</v>
      </c>
      <c r="M112" s="7"/>
      <c r="N112" s="7" t="s">
        <v>164</v>
      </c>
      <c r="O112" s="7" t="s">
        <v>631</v>
      </c>
    </row>
    <row r="113" customFormat="false" ht="15" hidden="false" customHeight="false" outlineLevel="0" collapsed="false">
      <c r="A113" s="6" t="n">
        <v>77</v>
      </c>
      <c r="B113" s="7" t="s">
        <v>157</v>
      </c>
      <c r="C113" s="7" t="s">
        <v>627</v>
      </c>
      <c r="D113" s="7" t="s">
        <v>628</v>
      </c>
      <c r="E113" s="7" t="s">
        <v>79</v>
      </c>
      <c r="F113" s="7" t="s">
        <v>632</v>
      </c>
      <c r="G113" s="7"/>
      <c r="H113" s="6" t="n">
        <f aca="false">LEN(F113)</f>
        <v>23</v>
      </c>
      <c r="I113" s="6" t="n">
        <v>5</v>
      </c>
      <c r="J113" s="6" t="n">
        <v>4</v>
      </c>
      <c r="K113" s="8" t="s">
        <v>14</v>
      </c>
      <c r="L113" s="7" t="s">
        <v>630</v>
      </c>
      <c r="M113" s="7"/>
      <c r="N113" s="7" t="s">
        <v>164</v>
      </c>
      <c r="O113" s="7" t="s">
        <v>631</v>
      </c>
    </row>
    <row r="114" customFormat="false" ht="15" hidden="false" customHeight="false" outlineLevel="0" collapsed="false">
      <c r="A114" s="6" t="n">
        <v>80</v>
      </c>
      <c r="B114" s="7" t="s">
        <v>229</v>
      </c>
      <c r="C114" s="7" t="s">
        <v>230</v>
      </c>
      <c r="D114" s="7" t="s">
        <v>633</v>
      </c>
      <c r="E114" s="7" t="s">
        <v>79</v>
      </c>
      <c r="F114" s="7" t="s">
        <v>634</v>
      </c>
      <c r="G114" s="7"/>
      <c r="H114" s="6" t="n">
        <f aca="false">LEN(F114)</f>
        <v>39</v>
      </c>
      <c r="I114" s="6" t="n">
        <v>4</v>
      </c>
      <c r="J114" s="6" t="n">
        <v>4</v>
      </c>
      <c r="K114" s="7" t="s">
        <v>12</v>
      </c>
      <c r="L114" s="7" t="s">
        <v>635</v>
      </c>
      <c r="M114" s="7"/>
      <c r="N114" s="7" t="s">
        <v>164</v>
      </c>
      <c r="O114" s="7" t="s">
        <v>238</v>
      </c>
    </row>
    <row r="115" customFormat="false" ht="23.85" hidden="false" customHeight="false" outlineLevel="0" collapsed="false">
      <c r="A115" s="6" t="n">
        <v>82</v>
      </c>
      <c r="B115" s="7" t="s">
        <v>157</v>
      </c>
      <c r="C115" s="7" t="s">
        <v>618</v>
      </c>
      <c r="D115" s="7" t="s">
        <v>636</v>
      </c>
      <c r="E115" s="7" t="s">
        <v>583</v>
      </c>
      <c r="F115" s="7" t="s">
        <v>637</v>
      </c>
      <c r="G115" s="7" t="s">
        <v>638</v>
      </c>
      <c r="H115" s="6" t="n">
        <f aca="false">LEN(F115)</f>
        <v>19</v>
      </c>
      <c r="I115" s="6" t="n">
        <v>5</v>
      </c>
      <c r="J115" s="6" t="n">
        <v>4</v>
      </c>
      <c r="K115" s="7" t="s">
        <v>16</v>
      </c>
      <c r="L115" s="7" t="s">
        <v>639</v>
      </c>
      <c r="M115" s="7"/>
      <c r="N115" s="7" t="s">
        <v>164</v>
      </c>
      <c r="O115" s="7" t="s">
        <v>640</v>
      </c>
    </row>
    <row r="116" customFormat="false" ht="23.85" hidden="false" customHeight="false" outlineLevel="0" collapsed="false">
      <c r="A116" s="6" t="n">
        <v>86</v>
      </c>
      <c r="B116" s="7" t="s">
        <v>337</v>
      </c>
      <c r="C116" s="7" t="s">
        <v>641</v>
      </c>
      <c r="D116" s="7" t="s">
        <v>642</v>
      </c>
      <c r="E116" s="7" t="s">
        <v>583</v>
      </c>
      <c r="F116" s="7" t="s">
        <v>643</v>
      </c>
      <c r="G116" s="7" t="s">
        <v>644</v>
      </c>
      <c r="H116" s="6" t="n">
        <f aca="false">LEN(F116)</f>
        <v>30</v>
      </c>
      <c r="I116" s="6" t="n">
        <v>5</v>
      </c>
      <c r="J116" s="6" t="n">
        <v>4</v>
      </c>
      <c r="K116" s="7" t="s">
        <v>16</v>
      </c>
      <c r="L116" s="7" t="s">
        <v>645</v>
      </c>
      <c r="M116" s="7"/>
      <c r="N116" s="7" t="s">
        <v>330</v>
      </c>
      <c r="O116" s="7" t="s">
        <v>646</v>
      </c>
    </row>
    <row r="117" customFormat="false" ht="23.85" hidden="false" customHeight="false" outlineLevel="0" collapsed="false">
      <c r="A117" s="6" t="n">
        <v>113</v>
      </c>
      <c r="B117" s="7" t="s">
        <v>324</v>
      </c>
      <c r="C117" s="7" t="s">
        <v>647</v>
      </c>
      <c r="D117" s="7" t="s">
        <v>648</v>
      </c>
      <c r="E117" s="7" t="s">
        <v>79</v>
      </c>
      <c r="F117" s="7" t="s">
        <v>649</v>
      </c>
      <c r="G117" s="7" t="s">
        <v>650</v>
      </c>
      <c r="H117" s="6" t="n">
        <f aca="false">LEN(F117)</f>
        <v>17</v>
      </c>
      <c r="I117" s="6" t="n">
        <v>4</v>
      </c>
      <c r="J117" s="6" t="n">
        <v>4</v>
      </c>
      <c r="K117" s="7" t="s">
        <v>13</v>
      </c>
      <c r="L117" s="7" t="s">
        <v>651</v>
      </c>
      <c r="M117" s="7" t="s">
        <v>652</v>
      </c>
      <c r="N117" s="7" t="s">
        <v>330</v>
      </c>
      <c r="O117" s="7" t="s">
        <v>653</v>
      </c>
    </row>
    <row r="118" customFormat="false" ht="23.85" hidden="false" customHeight="false" outlineLevel="0" collapsed="false">
      <c r="A118" s="6" t="n">
        <v>114</v>
      </c>
      <c r="B118" s="7" t="s">
        <v>324</v>
      </c>
      <c r="C118" s="7" t="s">
        <v>647</v>
      </c>
      <c r="D118" s="7" t="s">
        <v>654</v>
      </c>
      <c r="E118" s="7" t="s">
        <v>79</v>
      </c>
      <c r="F118" s="7" t="s">
        <v>655</v>
      </c>
      <c r="G118" s="7" t="s">
        <v>656</v>
      </c>
      <c r="H118" s="6" t="n">
        <f aca="false">LEN(F118)</f>
        <v>5</v>
      </c>
      <c r="I118" s="6" t="n">
        <v>4</v>
      </c>
      <c r="J118" s="6" t="n">
        <v>4</v>
      </c>
      <c r="K118" s="7" t="s">
        <v>13</v>
      </c>
      <c r="L118" s="7" t="s">
        <v>657</v>
      </c>
      <c r="M118" s="7" t="s">
        <v>658</v>
      </c>
      <c r="N118" s="7" t="s">
        <v>330</v>
      </c>
      <c r="O118" s="7" t="s">
        <v>659</v>
      </c>
    </row>
    <row r="119" customFormat="false" ht="15" hidden="false" customHeight="false" outlineLevel="0" collapsed="false">
      <c r="A119" s="6" t="n">
        <v>116</v>
      </c>
      <c r="B119" s="7" t="s">
        <v>337</v>
      </c>
      <c r="C119" s="7" t="s">
        <v>660</v>
      </c>
      <c r="D119" s="7" t="s">
        <v>661</v>
      </c>
      <c r="E119" s="7" t="s">
        <v>79</v>
      </c>
      <c r="F119" s="7" t="s">
        <v>347</v>
      </c>
      <c r="G119" s="7"/>
      <c r="H119" s="6" t="n">
        <f aca="false">LEN(F119)</f>
        <v>12</v>
      </c>
      <c r="I119" s="6" t="n">
        <v>5</v>
      </c>
      <c r="J119" s="6" t="n">
        <v>4</v>
      </c>
      <c r="K119" s="8" t="s">
        <v>14</v>
      </c>
      <c r="L119" s="7" t="s">
        <v>662</v>
      </c>
      <c r="M119" s="7"/>
      <c r="N119" s="7" t="s">
        <v>663</v>
      </c>
      <c r="O119" s="7" t="s">
        <v>664</v>
      </c>
    </row>
    <row r="120" customFormat="false" ht="15" hidden="false" customHeight="false" outlineLevel="0" collapsed="false">
      <c r="A120" s="6" t="n">
        <v>117</v>
      </c>
      <c r="B120" s="7" t="s">
        <v>337</v>
      </c>
      <c r="C120" s="7" t="s">
        <v>660</v>
      </c>
      <c r="D120" s="7" t="s">
        <v>661</v>
      </c>
      <c r="E120" s="7" t="s">
        <v>79</v>
      </c>
      <c r="F120" s="7" t="s">
        <v>665</v>
      </c>
      <c r="G120" s="7"/>
      <c r="H120" s="6" t="n">
        <f aca="false">LEN(F120)</f>
        <v>13</v>
      </c>
      <c r="I120" s="6" t="n">
        <v>5</v>
      </c>
      <c r="J120" s="6" t="n">
        <v>4</v>
      </c>
      <c r="K120" s="8" t="s">
        <v>14</v>
      </c>
      <c r="L120" s="7" t="s">
        <v>662</v>
      </c>
      <c r="M120" s="7"/>
      <c r="N120" s="7" t="s">
        <v>663</v>
      </c>
      <c r="O120" s="7" t="s">
        <v>281</v>
      </c>
    </row>
    <row r="121" customFormat="false" ht="15" hidden="false" customHeight="false" outlineLevel="0" collapsed="false">
      <c r="A121" s="6" t="n">
        <v>118</v>
      </c>
      <c r="B121" s="7" t="s">
        <v>337</v>
      </c>
      <c r="C121" s="7" t="s">
        <v>660</v>
      </c>
      <c r="D121" s="7" t="s">
        <v>661</v>
      </c>
      <c r="E121" s="7" t="s">
        <v>79</v>
      </c>
      <c r="F121" s="7" t="s">
        <v>666</v>
      </c>
      <c r="G121" s="7"/>
      <c r="H121" s="6" t="n">
        <f aca="false">LEN(F121)</f>
        <v>10</v>
      </c>
      <c r="I121" s="6" t="n">
        <v>5</v>
      </c>
      <c r="J121" s="6" t="n">
        <v>4</v>
      </c>
      <c r="K121" s="8" t="s">
        <v>14</v>
      </c>
      <c r="L121" s="7" t="s">
        <v>662</v>
      </c>
      <c r="M121" s="7"/>
      <c r="N121" s="7" t="s">
        <v>663</v>
      </c>
      <c r="O121" s="7" t="s">
        <v>667</v>
      </c>
    </row>
    <row r="122" customFormat="false" ht="15" hidden="false" customHeight="false" outlineLevel="0" collapsed="false">
      <c r="A122" s="6" t="n">
        <v>119</v>
      </c>
      <c r="B122" s="7" t="s">
        <v>337</v>
      </c>
      <c r="C122" s="7" t="s">
        <v>660</v>
      </c>
      <c r="D122" s="7" t="s">
        <v>661</v>
      </c>
      <c r="E122" s="7" t="s">
        <v>79</v>
      </c>
      <c r="F122" s="7" t="s">
        <v>668</v>
      </c>
      <c r="G122" s="7"/>
      <c r="H122" s="6" t="n">
        <f aca="false">LEN(F122)</f>
        <v>10</v>
      </c>
      <c r="I122" s="6" t="n">
        <v>5</v>
      </c>
      <c r="J122" s="6" t="n">
        <v>4</v>
      </c>
      <c r="K122" s="8" t="s">
        <v>14</v>
      </c>
      <c r="L122" s="7" t="s">
        <v>662</v>
      </c>
      <c r="M122" s="7"/>
      <c r="N122" s="7" t="s">
        <v>663</v>
      </c>
      <c r="O122" s="7" t="s">
        <v>285</v>
      </c>
    </row>
    <row r="123" customFormat="false" ht="15" hidden="false" customHeight="false" outlineLevel="0" collapsed="false">
      <c r="A123" s="6" t="n">
        <v>120</v>
      </c>
      <c r="B123" s="7" t="s">
        <v>337</v>
      </c>
      <c r="C123" s="7" t="s">
        <v>660</v>
      </c>
      <c r="D123" s="7" t="s">
        <v>661</v>
      </c>
      <c r="E123" s="7" t="s">
        <v>79</v>
      </c>
      <c r="F123" s="7" t="s">
        <v>389</v>
      </c>
      <c r="G123" s="7"/>
      <c r="H123" s="6" t="n">
        <f aca="false">LEN(F123)</f>
        <v>13</v>
      </c>
      <c r="I123" s="6" t="n">
        <v>5</v>
      </c>
      <c r="J123" s="6" t="n">
        <v>4</v>
      </c>
      <c r="K123" s="8" t="s">
        <v>14</v>
      </c>
      <c r="L123" s="7" t="s">
        <v>662</v>
      </c>
      <c r="M123" s="7"/>
      <c r="N123" s="7" t="s">
        <v>663</v>
      </c>
      <c r="O123" s="7" t="s">
        <v>669</v>
      </c>
    </row>
    <row r="124" customFormat="false" ht="23.85" hidden="false" customHeight="false" outlineLevel="0" collapsed="false">
      <c r="A124" s="6" t="n">
        <v>122</v>
      </c>
      <c r="B124" s="7" t="s">
        <v>337</v>
      </c>
      <c r="C124" s="7" t="s">
        <v>670</v>
      </c>
      <c r="D124" s="7" t="s">
        <v>671</v>
      </c>
      <c r="E124" s="7" t="s">
        <v>97</v>
      </c>
      <c r="F124" s="7" t="s">
        <v>672</v>
      </c>
      <c r="G124" s="7"/>
      <c r="H124" s="6" t="n">
        <f aca="false">LEN(F124)</f>
        <v>15</v>
      </c>
      <c r="I124" s="6" t="n">
        <v>5</v>
      </c>
      <c r="J124" s="6" t="n">
        <v>4</v>
      </c>
      <c r="K124" s="7" t="s">
        <v>12</v>
      </c>
      <c r="L124" s="7" t="s">
        <v>673</v>
      </c>
      <c r="M124" s="7"/>
      <c r="N124" s="7" t="s">
        <v>342</v>
      </c>
      <c r="O124" s="7" t="s">
        <v>674</v>
      </c>
    </row>
    <row r="125" customFormat="false" ht="15" hidden="false" customHeight="false" outlineLevel="0" collapsed="false">
      <c r="A125" s="6" t="n">
        <v>127</v>
      </c>
      <c r="B125" s="7" t="s">
        <v>337</v>
      </c>
      <c r="C125" s="7" t="s">
        <v>675</v>
      </c>
      <c r="D125" s="7" t="s">
        <v>676</v>
      </c>
      <c r="E125" s="7" t="s">
        <v>242</v>
      </c>
      <c r="F125" s="7" t="s">
        <v>677</v>
      </c>
      <c r="G125" s="7" t="s">
        <v>678</v>
      </c>
      <c r="H125" s="6" t="n">
        <f aca="false">LEN(F125)</f>
        <v>19</v>
      </c>
      <c r="I125" s="6" t="n">
        <v>3</v>
      </c>
      <c r="J125" s="6" t="n">
        <v>4</v>
      </c>
      <c r="K125" s="7" t="s">
        <v>13</v>
      </c>
      <c r="L125" s="7" t="s">
        <v>679</v>
      </c>
      <c r="M125" s="7" t="s">
        <v>680</v>
      </c>
      <c r="N125" s="7" t="s">
        <v>342</v>
      </c>
      <c r="O125" s="7" t="s">
        <v>681</v>
      </c>
    </row>
    <row r="126" customFormat="false" ht="23.85" hidden="false" customHeight="false" outlineLevel="0" collapsed="false">
      <c r="A126" s="6" t="n">
        <v>133</v>
      </c>
      <c r="B126" s="7" t="s">
        <v>337</v>
      </c>
      <c r="C126" s="7" t="s">
        <v>347</v>
      </c>
      <c r="D126" s="7" t="s">
        <v>682</v>
      </c>
      <c r="E126" s="7" t="s">
        <v>79</v>
      </c>
      <c r="F126" s="7" t="s">
        <v>683</v>
      </c>
      <c r="G126" s="7" t="s">
        <v>684</v>
      </c>
      <c r="H126" s="6" t="n">
        <f aca="false">LEN(F126)</f>
        <v>28</v>
      </c>
      <c r="I126" s="6" t="n">
        <v>5</v>
      </c>
      <c r="J126" s="6" t="n">
        <v>4</v>
      </c>
      <c r="K126" s="7" t="s">
        <v>12</v>
      </c>
      <c r="L126" s="7" t="s">
        <v>685</v>
      </c>
      <c r="M126" s="7"/>
      <c r="N126" s="7" t="s">
        <v>342</v>
      </c>
      <c r="O126" s="7" t="s">
        <v>686</v>
      </c>
    </row>
    <row r="127" customFormat="false" ht="23.85" hidden="false" customHeight="false" outlineLevel="0" collapsed="false">
      <c r="A127" s="6" t="n">
        <v>134</v>
      </c>
      <c r="B127" s="7" t="s">
        <v>337</v>
      </c>
      <c r="C127" s="7" t="s">
        <v>358</v>
      </c>
      <c r="D127" s="7" t="s">
        <v>687</v>
      </c>
      <c r="E127" s="7" t="s">
        <v>79</v>
      </c>
      <c r="F127" s="7" t="s">
        <v>688</v>
      </c>
      <c r="G127" s="7" t="s">
        <v>689</v>
      </c>
      <c r="H127" s="6" t="n">
        <f aca="false">LEN(F127)</f>
        <v>65</v>
      </c>
      <c r="I127" s="6" t="n">
        <v>4</v>
      </c>
      <c r="J127" s="6" t="n">
        <v>4</v>
      </c>
      <c r="K127" s="7" t="s">
        <v>12</v>
      </c>
      <c r="L127" s="7" t="s">
        <v>690</v>
      </c>
      <c r="M127" s="7"/>
      <c r="N127" s="7" t="s">
        <v>342</v>
      </c>
      <c r="O127" s="7" t="s">
        <v>691</v>
      </c>
    </row>
    <row r="128" customFormat="false" ht="23.85" hidden="false" customHeight="false" outlineLevel="0" collapsed="false">
      <c r="A128" s="6" t="n">
        <v>160</v>
      </c>
      <c r="B128" s="7" t="s">
        <v>337</v>
      </c>
      <c r="C128" s="7" t="s">
        <v>692</v>
      </c>
      <c r="D128" s="7" t="s">
        <v>693</v>
      </c>
      <c r="E128" s="7" t="s">
        <v>79</v>
      </c>
      <c r="F128" s="7" t="s">
        <v>694</v>
      </c>
      <c r="G128" s="7" t="s">
        <v>695</v>
      </c>
      <c r="H128" s="6" t="n">
        <f aca="false">LEN(F128)</f>
        <v>28</v>
      </c>
      <c r="I128" s="6" t="n">
        <v>5</v>
      </c>
      <c r="J128" s="6" t="n">
        <v>4</v>
      </c>
      <c r="K128" s="7" t="s">
        <v>12</v>
      </c>
      <c r="L128" s="7" t="s">
        <v>696</v>
      </c>
      <c r="M128" s="7"/>
      <c r="N128" s="7" t="s">
        <v>342</v>
      </c>
      <c r="O128" s="7" t="s">
        <v>697</v>
      </c>
    </row>
    <row r="129" customFormat="false" ht="35.05" hidden="false" customHeight="false" outlineLevel="0" collapsed="false">
      <c r="A129" s="6" t="n">
        <v>162</v>
      </c>
      <c r="B129" s="7" t="s">
        <v>545</v>
      </c>
      <c r="C129" s="7" t="s">
        <v>698</v>
      </c>
      <c r="D129" s="7" t="s">
        <v>699</v>
      </c>
      <c r="E129" s="7" t="s">
        <v>79</v>
      </c>
      <c r="F129" s="7" t="s">
        <v>700</v>
      </c>
      <c r="G129" s="7"/>
      <c r="H129" s="6" t="n">
        <f aca="false">LEN(F129)</f>
        <v>31</v>
      </c>
      <c r="I129" s="6" t="n">
        <v>4</v>
      </c>
      <c r="J129" s="6" t="n">
        <v>4</v>
      </c>
      <c r="K129" s="7" t="s">
        <v>13</v>
      </c>
      <c r="L129" s="7" t="s">
        <v>701</v>
      </c>
      <c r="M129" s="7" t="s">
        <v>702</v>
      </c>
      <c r="N129" s="7" t="s">
        <v>703</v>
      </c>
      <c r="O129" s="7" t="s">
        <v>704</v>
      </c>
    </row>
    <row r="130" customFormat="false" ht="15" hidden="false" customHeight="false" outlineLevel="0" collapsed="false">
      <c r="A130" s="6" t="n">
        <v>166</v>
      </c>
      <c r="B130" s="7" t="s">
        <v>460</v>
      </c>
      <c r="C130" s="7" t="s">
        <v>705</v>
      </c>
      <c r="D130" s="7" t="s">
        <v>706</v>
      </c>
      <c r="E130" s="7" t="s">
        <v>79</v>
      </c>
      <c r="F130" s="7" t="s">
        <v>707</v>
      </c>
      <c r="G130" s="7"/>
      <c r="H130" s="6" t="n">
        <f aca="false">LEN(F130)</f>
        <v>6</v>
      </c>
      <c r="I130" s="6" t="n">
        <v>5</v>
      </c>
      <c r="J130" s="6" t="n">
        <v>4</v>
      </c>
      <c r="K130" s="7" t="s">
        <v>12</v>
      </c>
      <c r="L130" s="7" t="s">
        <v>708</v>
      </c>
      <c r="M130" s="7"/>
      <c r="N130" s="7" t="s">
        <v>466</v>
      </c>
      <c r="O130" s="7" t="s">
        <v>513</v>
      </c>
    </row>
    <row r="131" customFormat="false" ht="23.85" hidden="false" customHeight="false" outlineLevel="0" collapsed="false">
      <c r="A131" s="6" t="n">
        <v>168</v>
      </c>
      <c r="B131" s="7" t="s">
        <v>460</v>
      </c>
      <c r="C131" s="7" t="s">
        <v>468</v>
      </c>
      <c r="D131" s="7" t="s">
        <v>709</v>
      </c>
      <c r="E131" s="7" t="s">
        <v>79</v>
      </c>
      <c r="F131" s="7" t="s">
        <v>710</v>
      </c>
      <c r="G131" s="7" t="s">
        <v>711</v>
      </c>
      <c r="H131" s="6" t="n">
        <f aca="false">LEN(F131)</f>
        <v>14</v>
      </c>
      <c r="I131" s="6" t="n">
        <v>4</v>
      </c>
      <c r="J131" s="6" t="n">
        <v>4</v>
      </c>
      <c r="K131" s="7" t="s">
        <v>12</v>
      </c>
      <c r="L131" s="7" t="s">
        <v>712</v>
      </c>
      <c r="M131" s="7"/>
      <c r="N131" s="7" t="s">
        <v>466</v>
      </c>
      <c r="O131" s="7" t="s">
        <v>713</v>
      </c>
    </row>
    <row r="132" customFormat="false" ht="23.85" hidden="false" customHeight="false" outlineLevel="0" collapsed="false">
      <c r="A132" s="6" t="n">
        <v>169</v>
      </c>
      <c r="B132" s="7" t="s">
        <v>460</v>
      </c>
      <c r="C132" s="7" t="s">
        <v>468</v>
      </c>
      <c r="D132" s="7" t="s">
        <v>709</v>
      </c>
      <c r="E132" s="7" t="s">
        <v>79</v>
      </c>
      <c r="F132" s="7" t="s">
        <v>714</v>
      </c>
      <c r="G132" s="7" t="s">
        <v>715</v>
      </c>
      <c r="H132" s="6" t="n">
        <f aca="false">LEN(F132)</f>
        <v>16</v>
      </c>
      <c r="I132" s="6" t="n">
        <v>4</v>
      </c>
      <c r="J132" s="6" t="n">
        <v>4</v>
      </c>
      <c r="K132" s="7" t="s">
        <v>12</v>
      </c>
      <c r="L132" s="7" t="s">
        <v>716</v>
      </c>
      <c r="M132" s="7"/>
      <c r="N132" s="7" t="s">
        <v>466</v>
      </c>
      <c r="O132" s="7" t="s">
        <v>717</v>
      </c>
    </row>
    <row r="133" customFormat="false" ht="23.85" hidden="false" customHeight="false" outlineLevel="0" collapsed="false">
      <c r="A133" s="6" t="n">
        <v>172</v>
      </c>
      <c r="B133" s="7" t="s">
        <v>460</v>
      </c>
      <c r="C133" s="7" t="s">
        <v>468</v>
      </c>
      <c r="D133" s="7" t="s">
        <v>718</v>
      </c>
      <c r="E133" s="7" t="s">
        <v>79</v>
      </c>
      <c r="F133" s="7" t="s">
        <v>719</v>
      </c>
      <c r="G133" s="7"/>
      <c r="H133" s="6" t="n">
        <f aca="false">LEN(F133)</f>
        <v>12</v>
      </c>
      <c r="I133" s="6" t="n">
        <v>4</v>
      </c>
      <c r="J133" s="6" t="n">
        <v>4</v>
      </c>
      <c r="K133" s="7" t="s">
        <v>12</v>
      </c>
      <c r="L133" s="7" t="s">
        <v>477</v>
      </c>
      <c r="M133" s="7"/>
      <c r="N133" s="7" t="s">
        <v>466</v>
      </c>
      <c r="O133" s="7" t="s">
        <v>720</v>
      </c>
    </row>
    <row r="134" customFormat="false" ht="23.85" hidden="false" customHeight="false" outlineLevel="0" collapsed="false">
      <c r="A134" s="6" t="n">
        <v>175</v>
      </c>
      <c r="B134" s="7" t="s">
        <v>460</v>
      </c>
      <c r="C134" s="7" t="s">
        <v>468</v>
      </c>
      <c r="D134" s="7" t="s">
        <v>489</v>
      </c>
      <c r="E134" s="7" t="s">
        <v>79</v>
      </c>
      <c r="F134" s="7" t="s">
        <v>721</v>
      </c>
      <c r="G134" s="7"/>
      <c r="H134" s="6" t="n">
        <f aca="false">LEN(F134)</f>
        <v>7</v>
      </c>
      <c r="I134" s="6" t="n">
        <v>4</v>
      </c>
      <c r="J134" s="6" t="n">
        <v>4</v>
      </c>
      <c r="K134" s="7" t="s">
        <v>12</v>
      </c>
      <c r="L134" s="7" t="s">
        <v>722</v>
      </c>
      <c r="M134" s="7"/>
      <c r="N134" s="7" t="s">
        <v>466</v>
      </c>
      <c r="O134" s="7" t="s">
        <v>723</v>
      </c>
    </row>
    <row r="135" customFormat="false" ht="23.85" hidden="false" customHeight="false" outlineLevel="0" collapsed="false">
      <c r="A135" s="6" t="n">
        <v>176</v>
      </c>
      <c r="B135" s="7" t="s">
        <v>460</v>
      </c>
      <c r="C135" s="7" t="s">
        <v>468</v>
      </c>
      <c r="D135" s="7" t="s">
        <v>489</v>
      </c>
      <c r="E135" s="7" t="s">
        <v>79</v>
      </c>
      <c r="F135" s="7" t="s">
        <v>724</v>
      </c>
      <c r="G135" s="7"/>
      <c r="H135" s="6" t="n">
        <f aca="false">LEN(F135)</f>
        <v>7</v>
      </c>
      <c r="I135" s="6" t="n">
        <v>4</v>
      </c>
      <c r="J135" s="6" t="n">
        <v>4</v>
      </c>
      <c r="K135" s="7" t="s">
        <v>12</v>
      </c>
      <c r="L135" s="7" t="s">
        <v>725</v>
      </c>
      <c r="M135" s="7"/>
      <c r="N135" s="7" t="s">
        <v>466</v>
      </c>
      <c r="O135" s="7" t="s">
        <v>726</v>
      </c>
    </row>
    <row r="136" customFormat="false" ht="23.85" hidden="false" customHeight="false" outlineLevel="0" collapsed="false">
      <c r="A136" s="6" t="n">
        <v>180</v>
      </c>
      <c r="B136" s="7" t="s">
        <v>460</v>
      </c>
      <c r="C136" s="7" t="s">
        <v>468</v>
      </c>
      <c r="D136" s="7" t="s">
        <v>727</v>
      </c>
      <c r="E136" s="7" t="s">
        <v>79</v>
      </c>
      <c r="F136" s="7" t="s">
        <v>728</v>
      </c>
      <c r="G136" s="7" t="s">
        <v>729</v>
      </c>
      <c r="H136" s="6" t="n">
        <f aca="false">LEN(F136)</f>
        <v>10</v>
      </c>
      <c r="I136" s="6" t="n">
        <v>4</v>
      </c>
      <c r="J136" s="6" t="n">
        <v>4</v>
      </c>
      <c r="K136" s="7" t="s">
        <v>12</v>
      </c>
      <c r="L136" s="7" t="s">
        <v>730</v>
      </c>
      <c r="M136" s="7"/>
      <c r="N136" s="7" t="s">
        <v>466</v>
      </c>
      <c r="O136" s="7" t="s">
        <v>731</v>
      </c>
    </row>
    <row r="137" customFormat="false" ht="15" hidden="false" customHeight="false" outlineLevel="0" collapsed="false">
      <c r="A137" s="6" t="n">
        <v>185</v>
      </c>
      <c r="B137" s="7" t="s">
        <v>500</v>
      </c>
      <c r="C137" s="7" t="s">
        <v>732</v>
      </c>
      <c r="D137" s="7" t="s">
        <v>733</v>
      </c>
      <c r="E137" s="7" t="s">
        <v>79</v>
      </c>
      <c r="F137" s="7" t="s">
        <v>734</v>
      </c>
      <c r="G137" s="7"/>
      <c r="H137" s="6" t="n">
        <f aca="false">LEN(F137)</f>
        <v>15</v>
      </c>
      <c r="I137" s="6" t="n">
        <v>3</v>
      </c>
      <c r="J137" s="6" t="n">
        <v>4</v>
      </c>
      <c r="K137" s="7" t="s">
        <v>13</v>
      </c>
      <c r="L137" s="7" t="s">
        <v>735</v>
      </c>
      <c r="M137" s="7" t="s">
        <v>736</v>
      </c>
      <c r="N137" s="7" t="s">
        <v>506</v>
      </c>
      <c r="O137" s="7" t="s">
        <v>669</v>
      </c>
    </row>
    <row r="138" customFormat="false" ht="23.85" hidden="false" customHeight="false" outlineLevel="0" collapsed="false">
      <c r="A138" s="6" t="n">
        <v>186</v>
      </c>
      <c r="B138" s="7" t="s">
        <v>500</v>
      </c>
      <c r="C138" s="7" t="s">
        <v>732</v>
      </c>
      <c r="D138" s="7" t="s">
        <v>737</v>
      </c>
      <c r="E138" s="7" t="s">
        <v>79</v>
      </c>
      <c r="F138" s="7" t="s">
        <v>738</v>
      </c>
      <c r="G138" s="7"/>
      <c r="H138" s="6" t="n">
        <f aca="false">LEN(F138)</f>
        <v>32</v>
      </c>
      <c r="I138" s="6" t="n">
        <v>4</v>
      </c>
      <c r="J138" s="6" t="n">
        <v>4</v>
      </c>
      <c r="K138" s="7" t="s">
        <v>13</v>
      </c>
      <c r="L138" s="7" t="s">
        <v>739</v>
      </c>
      <c r="M138" s="7" t="s">
        <v>740</v>
      </c>
      <c r="N138" s="7" t="s">
        <v>506</v>
      </c>
      <c r="O138" s="7" t="s">
        <v>120</v>
      </c>
    </row>
    <row r="139" customFormat="false" ht="15" hidden="false" customHeight="false" outlineLevel="0" collapsed="false">
      <c r="A139" s="6" t="n">
        <v>187</v>
      </c>
      <c r="B139" s="7" t="s">
        <v>500</v>
      </c>
      <c r="C139" s="7" t="s">
        <v>732</v>
      </c>
      <c r="D139" s="7" t="s">
        <v>741</v>
      </c>
      <c r="E139" s="7" t="s">
        <v>79</v>
      </c>
      <c r="F139" s="7" t="s">
        <v>742</v>
      </c>
      <c r="G139" s="7"/>
      <c r="H139" s="6" t="n">
        <f aca="false">LEN(F139)</f>
        <v>34</v>
      </c>
      <c r="I139" s="6" t="n">
        <v>4</v>
      </c>
      <c r="J139" s="6" t="n">
        <v>4</v>
      </c>
      <c r="K139" s="7" t="s">
        <v>12</v>
      </c>
      <c r="L139" s="7" t="s">
        <v>743</v>
      </c>
      <c r="M139" s="7"/>
      <c r="N139" s="7" t="s">
        <v>506</v>
      </c>
      <c r="O139" s="7" t="s">
        <v>744</v>
      </c>
    </row>
    <row r="140" customFormat="false" ht="23.85" hidden="false" customHeight="false" outlineLevel="0" collapsed="false">
      <c r="A140" s="6" t="n">
        <v>196</v>
      </c>
      <c r="B140" s="7" t="s">
        <v>514</v>
      </c>
      <c r="C140" s="7" t="s">
        <v>745</v>
      </c>
      <c r="D140" s="7" t="s">
        <v>746</v>
      </c>
      <c r="E140" s="7" t="s">
        <v>79</v>
      </c>
      <c r="F140" s="7" t="s">
        <v>747</v>
      </c>
      <c r="G140" s="7"/>
      <c r="H140" s="6" t="n">
        <f aca="false">LEN(F140)</f>
        <v>52</v>
      </c>
      <c r="I140" s="6" t="n">
        <v>3</v>
      </c>
      <c r="J140" s="6" t="n">
        <v>4</v>
      </c>
      <c r="K140" s="7" t="s">
        <v>13</v>
      </c>
      <c r="L140" s="7" t="s">
        <v>748</v>
      </c>
      <c r="M140" s="7" t="s">
        <v>749</v>
      </c>
      <c r="N140" s="7" t="s">
        <v>519</v>
      </c>
      <c r="O140" s="7" t="s">
        <v>750</v>
      </c>
    </row>
    <row r="141" customFormat="false" ht="23.85" hidden="false" customHeight="false" outlineLevel="0" collapsed="false">
      <c r="A141" s="6" t="n">
        <v>197</v>
      </c>
      <c r="B141" s="7" t="s">
        <v>514</v>
      </c>
      <c r="C141" s="7" t="s">
        <v>745</v>
      </c>
      <c r="D141" s="7" t="s">
        <v>751</v>
      </c>
      <c r="E141" s="7" t="s">
        <v>79</v>
      </c>
      <c r="F141" s="7" t="s">
        <v>752</v>
      </c>
      <c r="G141" s="7"/>
      <c r="H141" s="6" t="n">
        <f aca="false">LEN(F141)</f>
        <v>61</v>
      </c>
      <c r="I141" s="6" t="n">
        <v>3</v>
      </c>
      <c r="J141" s="6" t="n">
        <v>4</v>
      </c>
      <c r="K141" s="7" t="s">
        <v>13</v>
      </c>
      <c r="L141" s="7" t="s">
        <v>753</v>
      </c>
      <c r="M141" s="7" t="s">
        <v>754</v>
      </c>
      <c r="N141" s="7" t="s">
        <v>519</v>
      </c>
      <c r="O141" s="7" t="s">
        <v>311</v>
      </c>
    </row>
    <row r="142" customFormat="false" ht="23.85" hidden="false" customHeight="false" outlineLevel="0" collapsed="false">
      <c r="A142" s="6" t="n">
        <v>198</v>
      </c>
      <c r="B142" s="7" t="s">
        <v>514</v>
      </c>
      <c r="C142" s="7" t="s">
        <v>745</v>
      </c>
      <c r="D142" s="7" t="s">
        <v>755</v>
      </c>
      <c r="E142" s="7" t="s">
        <v>79</v>
      </c>
      <c r="F142" s="7" t="s">
        <v>756</v>
      </c>
      <c r="G142" s="7"/>
      <c r="H142" s="6" t="n">
        <f aca="false">LEN(F142)</f>
        <v>45</v>
      </c>
      <c r="I142" s="6" t="n">
        <v>3</v>
      </c>
      <c r="J142" s="6" t="n">
        <v>4</v>
      </c>
      <c r="K142" s="7" t="s">
        <v>13</v>
      </c>
      <c r="L142" s="7" t="s">
        <v>753</v>
      </c>
      <c r="M142" s="7" t="s">
        <v>757</v>
      </c>
      <c r="N142" s="7" t="s">
        <v>519</v>
      </c>
      <c r="O142" s="7" t="s">
        <v>607</v>
      </c>
    </row>
    <row r="143" customFormat="false" ht="15" hidden="false" customHeight="false" outlineLevel="0" collapsed="false">
      <c r="A143" s="6" t="n">
        <v>208</v>
      </c>
      <c r="B143" s="7" t="s">
        <v>514</v>
      </c>
      <c r="C143" s="7" t="s">
        <v>758</v>
      </c>
      <c r="D143" s="7" t="s">
        <v>759</v>
      </c>
      <c r="E143" s="7" t="s">
        <v>79</v>
      </c>
      <c r="F143" s="7" t="s">
        <v>760</v>
      </c>
      <c r="G143" s="7"/>
      <c r="H143" s="6" t="n">
        <f aca="false">LEN(F143)</f>
        <v>37</v>
      </c>
      <c r="I143" s="6" t="n">
        <v>5</v>
      </c>
      <c r="J143" s="6" t="n">
        <v>4</v>
      </c>
      <c r="K143" s="8" t="s">
        <v>14</v>
      </c>
      <c r="L143" s="7" t="s">
        <v>761</v>
      </c>
      <c r="M143" s="7"/>
      <c r="N143" s="7" t="s">
        <v>519</v>
      </c>
      <c r="O143" s="7" t="s">
        <v>762</v>
      </c>
    </row>
    <row r="144" customFormat="false" ht="15" hidden="false" customHeight="false" outlineLevel="0" collapsed="false">
      <c r="A144" s="6" t="n">
        <v>210</v>
      </c>
      <c r="B144" s="7" t="s">
        <v>514</v>
      </c>
      <c r="C144" s="7" t="s">
        <v>763</v>
      </c>
      <c r="D144" s="7" t="s">
        <v>764</v>
      </c>
      <c r="E144" s="7" t="s">
        <v>79</v>
      </c>
      <c r="F144" s="7" t="s">
        <v>765</v>
      </c>
      <c r="G144" s="7"/>
      <c r="H144" s="6" t="n">
        <f aca="false">LEN(F144)</f>
        <v>8</v>
      </c>
      <c r="I144" s="6" t="n">
        <v>4</v>
      </c>
      <c r="J144" s="6" t="n">
        <v>4</v>
      </c>
      <c r="K144" s="8" t="s">
        <v>14</v>
      </c>
      <c r="L144" s="7" t="s">
        <v>766</v>
      </c>
      <c r="M144" s="7"/>
      <c r="N144" s="7" t="s">
        <v>519</v>
      </c>
      <c r="O144" s="7" t="s">
        <v>767</v>
      </c>
    </row>
    <row r="145" customFormat="false" ht="23.85" hidden="false" customHeight="false" outlineLevel="0" collapsed="false">
      <c r="A145" s="6" t="n">
        <v>211</v>
      </c>
      <c r="B145" s="7" t="s">
        <v>229</v>
      </c>
      <c r="C145" s="7" t="s">
        <v>768</v>
      </c>
      <c r="D145" s="7" t="s">
        <v>599</v>
      </c>
      <c r="E145" s="7" t="s">
        <v>79</v>
      </c>
      <c r="F145" s="7" t="s">
        <v>769</v>
      </c>
      <c r="G145" s="7"/>
      <c r="H145" s="6" t="n">
        <f aca="false">LEN(F145)</f>
        <v>18</v>
      </c>
      <c r="I145" s="6" t="n">
        <v>4</v>
      </c>
      <c r="J145" s="6" t="n">
        <v>4</v>
      </c>
      <c r="K145" s="8" t="s">
        <v>14</v>
      </c>
      <c r="L145" s="7" t="s">
        <v>770</v>
      </c>
      <c r="M145" s="7"/>
      <c r="N145" s="7" t="s">
        <v>771</v>
      </c>
      <c r="O145" s="7" t="s">
        <v>772</v>
      </c>
    </row>
    <row r="146" customFormat="false" ht="15" hidden="false" customHeight="false" outlineLevel="0" collapsed="false">
      <c r="A146" s="6" t="n">
        <v>213</v>
      </c>
      <c r="B146" s="7" t="s">
        <v>229</v>
      </c>
      <c r="C146" s="7" t="s">
        <v>773</v>
      </c>
      <c r="D146" s="7" t="s">
        <v>774</v>
      </c>
      <c r="E146" s="7" t="s">
        <v>79</v>
      </c>
      <c r="F146" s="7" t="s">
        <v>775</v>
      </c>
      <c r="G146" s="7"/>
      <c r="H146" s="6" t="n">
        <f aca="false">LEN(F146)</f>
        <v>14</v>
      </c>
      <c r="I146" s="6" t="n">
        <v>4</v>
      </c>
      <c r="J146" s="6" t="n">
        <v>4</v>
      </c>
      <c r="K146" s="8" t="s">
        <v>14</v>
      </c>
      <c r="L146" s="7" t="s">
        <v>776</v>
      </c>
      <c r="M146" s="7"/>
      <c r="N146" s="7" t="s">
        <v>771</v>
      </c>
      <c r="O146" s="7" t="s">
        <v>777</v>
      </c>
    </row>
    <row r="147" customFormat="false" ht="15" hidden="false" customHeight="false" outlineLevel="0" collapsed="false">
      <c r="A147" s="6" t="n">
        <v>214</v>
      </c>
      <c r="B147" s="7" t="s">
        <v>229</v>
      </c>
      <c r="C147" s="7" t="s">
        <v>778</v>
      </c>
      <c r="D147" s="7" t="s">
        <v>774</v>
      </c>
      <c r="E147" s="7" t="s">
        <v>79</v>
      </c>
      <c r="F147" s="7" t="s">
        <v>515</v>
      </c>
      <c r="G147" s="7"/>
      <c r="H147" s="6" t="n">
        <f aca="false">LEN(F147)</f>
        <v>5</v>
      </c>
      <c r="I147" s="6" t="n">
        <v>4</v>
      </c>
      <c r="J147" s="6" t="n">
        <v>4</v>
      </c>
      <c r="K147" s="8" t="s">
        <v>14</v>
      </c>
      <c r="L147" s="7" t="s">
        <v>776</v>
      </c>
      <c r="M147" s="7"/>
      <c r="N147" s="7" t="s">
        <v>771</v>
      </c>
      <c r="O147" s="7" t="s">
        <v>779</v>
      </c>
    </row>
    <row r="148" customFormat="false" ht="23.85" hidden="false" customHeight="false" outlineLevel="0" collapsed="false">
      <c r="A148" s="6" t="n">
        <v>4</v>
      </c>
      <c r="B148" s="7" t="s">
        <v>76</v>
      </c>
      <c r="C148" s="7" t="s">
        <v>543</v>
      </c>
      <c r="D148" s="7" t="s">
        <v>780</v>
      </c>
      <c r="E148" s="7" t="s">
        <v>79</v>
      </c>
      <c r="F148" s="7" t="s">
        <v>514</v>
      </c>
      <c r="G148" s="7"/>
      <c r="H148" s="6" t="n">
        <f aca="false">LEN(F148)</f>
        <v>8</v>
      </c>
      <c r="I148" s="6" t="n">
        <v>5</v>
      </c>
      <c r="J148" s="6" t="n">
        <v>3</v>
      </c>
      <c r="K148" s="7" t="s">
        <v>12</v>
      </c>
      <c r="L148" s="7" t="s">
        <v>781</v>
      </c>
      <c r="M148" s="7"/>
      <c r="N148" s="7" t="s">
        <v>90</v>
      </c>
      <c r="O148" s="7" t="s">
        <v>782</v>
      </c>
    </row>
    <row r="149" customFormat="false" ht="23.85" hidden="false" customHeight="false" outlineLevel="0" collapsed="false">
      <c r="A149" s="6" t="n">
        <v>6</v>
      </c>
      <c r="B149" s="7" t="s">
        <v>76</v>
      </c>
      <c r="C149" s="7" t="s">
        <v>543</v>
      </c>
      <c r="D149" s="7" t="s">
        <v>783</v>
      </c>
      <c r="E149" s="7" t="s">
        <v>79</v>
      </c>
      <c r="F149" s="7" t="s">
        <v>784</v>
      </c>
      <c r="G149" s="7"/>
      <c r="H149" s="6" t="n">
        <f aca="false">LEN(F149)</f>
        <v>12</v>
      </c>
      <c r="I149" s="6" t="n">
        <v>5</v>
      </c>
      <c r="J149" s="6" t="n">
        <v>3</v>
      </c>
      <c r="K149" s="8" t="s">
        <v>12</v>
      </c>
      <c r="L149" s="7" t="s">
        <v>785</v>
      </c>
      <c r="M149" s="7"/>
      <c r="N149" s="7" t="s">
        <v>90</v>
      </c>
      <c r="O149" s="7" t="s">
        <v>786</v>
      </c>
    </row>
    <row r="150" customFormat="false" ht="15" hidden="false" customHeight="false" outlineLevel="0" collapsed="false">
      <c r="A150" s="6" t="n">
        <v>42</v>
      </c>
      <c r="B150" s="7" t="s">
        <v>146</v>
      </c>
      <c r="C150" s="7" t="s">
        <v>787</v>
      </c>
      <c r="D150" s="7" t="s">
        <v>599</v>
      </c>
      <c r="E150" s="7" t="s">
        <v>79</v>
      </c>
      <c r="F150" s="7" t="s">
        <v>788</v>
      </c>
      <c r="G150" s="7"/>
      <c r="H150" s="6" t="n">
        <f aca="false">LEN(F150)</f>
        <v>22</v>
      </c>
      <c r="I150" s="6" t="n">
        <v>4</v>
      </c>
      <c r="J150" s="6" t="n">
        <v>3</v>
      </c>
      <c r="K150" s="8" t="s">
        <v>14</v>
      </c>
      <c r="L150" s="7" t="s">
        <v>789</v>
      </c>
      <c r="M150" s="7"/>
      <c r="N150" s="7" t="s">
        <v>790</v>
      </c>
      <c r="O150" s="7" t="s">
        <v>791</v>
      </c>
    </row>
    <row r="151" customFormat="false" ht="15" hidden="false" customHeight="false" outlineLevel="0" collapsed="false">
      <c r="A151" s="6" t="n">
        <v>43</v>
      </c>
      <c r="B151" s="7" t="s">
        <v>792</v>
      </c>
      <c r="C151" s="7" t="s">
        <v>793</v>
      </c>
      <c r="D151" s="7" t="s">
        <v>794</v>
      </c>
      <c r="E151" s="7" t="s">
        <v>79</v>
      </c>
      <c r="F151" s="7" t="s">
        <v>795</v>
      </c>
      <c r="G151" s="7"/>
      <c r="H151" s="6" t="n">
        <f aca="false">LEN(F151)</f>
        <v>18</v>
      </c>
      <c r="I151" s="6" t="n">
        <v>5</v>
      </c>
      <c r="J151" s="6" t="n">
        <v>3</v>
      </c>
      <c r="K151" s="8" t="s">
        <v>14</v>
      </c>
      <c r="L151" s="7" t="s">
        <v>796</v>
      </c>
      <c r="M151" s="7"/>
      <c r="N151" s="7" t="s">
        <v>797</v>
      </c>
      <c r="O151" s="7" t="s">
        <v>798</v>
      </c>
    </row>
    <row r="152" customFormat="false" ht="15" hidden="false" customHeight="false" outlineLevel="0" collapsed="false">
      <c r="A152" s="6" t="n">
        <v>45</v>
      </c>
      <c r="B152" s="7" t="s">
        <v>157</v>
      </c>
      <c r="C152" s="7" t="s">
        <v>603</v>
      </c>
      <c r="D152" s="7" t="s">
        <v>604</v>
      </c>
      <c r="E152" s="7" t="s">
        <v>79</v>
      </c>
      <c r="F152" s="7" t="s">
        <v>799</v>
      </c>
      <c r="G152" s="7"/>
      <c r="H152" s="6" t="n">
        <f aca="false">LEN(F152)</f>
        <v>7</v>
      </c>
      <c r="I152" s="6" t="n">
        <v>5</v>
      </c>
      <c r="J152" s="6" t="n">
        <v>3</v>
      </c>
      <c r="K152" s="8" t="s">
        <v>14</v>
      </c>
      <c r="L152" s="7" t="s">
        <v>606</v>
      </c>
      <c r="M152" s="7"/>
      <c r="N152" s="7" t="s">
        <v>164</v>
      </c>
      <c r="O152" s="7" t="s">
        <v>538</v>
      </c>
    </row>
    <row r="153" customFormat="false" ht="15" hidden="false" customHeight="false" outlineLevel="0" collapsed="false">
      <c r="A153" s="6" t="n">
        <v>47</v>
      </c>
      <c r="B153" s="7" t="s">
        <v>157</v>
      </c>
      <c r="C153" s="7" t="s">
        <v>603</v>
      </c>
      <c r="D153" s="7" t="s">
        <v>604</v>
      </c>
      <c r="E153" s="7" t="s">
        <v>79</v>
      </c>
      <c r="F153" s="7" t="s">
        <v>800</v>
      </c>
      <c r="G153" s="7"/>
      <c r="H153" s="6" t="n">
        <f aca="false">LEN(F153)</f>
        <v>7</v>
      </c>
      <c r="I153" s="6" t="n">
        <v>5</v>
      </c>
      <c r="J153" s="6" t="n">
        <v>3</v>
      </c>
      <c r="K153" s="8" t="s">
        <v>14</v>
      </c>
      <c r="L153" s="7" t="s">
        <v>606</v>
      </c>
      <c r="M153" s="7"/>
      <c r="N153" s="7" t="s">
        <v>164</v>
      </c>
      <c r="O153" s="7" t="s">
        <v>801</v>
      </c>
    </row>
    <row r="154" customFormat="false" ht="15" hidden="false" customHeight="false" outlineLevel="0" collapsed="false">
      <c r="A154" s="6" t="n">
        <v>48</v>
      </c>
      <c r="B154" s="7" t="s">
        <v>157</v>
      </c>
      <c r="C154" s="7" t="s">
        <v>603</v>
      </c>
      <c r="D154" s="7" t="s">
        <v>604</v>
      </c>
      <c r="E154" s="7" t="s">
        <v>79</v>
      </c>
      <c r="F154" s="7" t="s">
        <v>802</v>
      </c>
      <c r="G154" s="7"/>
      <c r="H154" s="6" t="n">
        <f aca="false">LEN(F154)</f>
        <v>11</v>
      </c>
      <c r="I154" s="6" t="n">
        <v>5</v>
      </c>
      <c r="J154" s="6" t="n">
        <v>3</v>
      </c>
      <c r="K154" s="8" t="s">
        <v>14</v>
      </c>
      <c r="L154" s="7" t="s">
        <v>606</v>
      </c>
      <c r="M154" s="7"/>
      <c r="N154" s="7" t="s">
        <v>164</v>
      </c>
      <c r="O154" s="7" t="s">
        <v>315</v>
      </c>
    </row>
    <row r="155" customFormat="false" ht="15" hidden="false" customHeight="false" outlineLevel="0" collapsed="false">
      <c r="A155" s="6" t="n">
        <v>49</v>
      </c>
      <c r="B155" s="7" t="s">
        <v>157</v>
      </c>
      <c r="C155" s="7" t="s">
        <v>603</v>
      </c>
      <c r="D155" s="7" t="s">
        <v>604</v>
      </c>
      <c r="E155" s="7" t="s">
        <v>79</v>
      </c>
      <c r="F155" s="7" t="s">
        <v>803</v>
      </c>
      <c r="G155" s="7"/>
      <c r="H155" s="6" t="n">
        <f aca="false">LEN(F155)</f>
        <v>5</v>
      </c>
      <c r="I155" s="6" t="n">
        <v>5</v>
      </c>
      <c r="J155" s="6" t="n">
        <v>3</v>
      </c>
      <c r="K155" s="8" t="s">
        <v>14</v>
      </c>
      <c r="L155" s="7" t="s">
        <v>606</v>
      </c>
      <c r="M155" s="7"/>
      <c r="N155" s="7" t="s">
        <v>164</v>
      </c>
      <c r="O155" s="7" t="s">
        <v>804</v>
      </c>
    </row>
    <row r="156" customFormat="false" ht="15" hidden="false" customHeight="false" outlineLevel="0" collapsed="false">
      <c r="A156" s="6" t="n">
        <v>50</v>
      </c>
      <c r="B156" s="7" t="s">
        <v>157</v>
      </c>
      <c r="C156" s="7" t="s">
        <v>603</v>
      </c>
      <c r="D156" s="7" t="s">
        <v>604</v>
      </c>
      <c r="E156" s="7" t="s">
        <v>79</v>
      </c>
      <c r="F156" s="7" t="s">
        <v>805</v>
      </c>
      <c r="G156" s="7"/>
      <c r="H156" s="6" t="n">
        <f aca="false">LEN(F156)</f>
        <v>5</v>
      </c>
      <c r="I156" s="6" t="n">
        <v>5</v>
      </c>
      <c r="J156" s="6" t="n">
        <v>3</v>
      </c>
      <c r="K156" s="8" t="s">
        <v>14</v>
      </c>
      <c r="L156" s="7" t="s">
        <v>606</v>
      </c>
      <c r="M156" s="7"/>
      <c r="N156" s="7" t="s">
        <v>164</v>
      </c>
      <c r="O156" s="7" t="s">
        <v>806</v>
      </c>
    </row>
    <row r="157" customFormat="false" ht="35.05" hidden="false" customHeight="false" outlineLevel="0" collapsed="false">
      <c r="A157" s="6" t="n">
        <v>55</v>
      </c>
      <c r="B157" s="7" t="s">
        <v>229</v>
      </c>
      <c r="C157" s="7" t="s">
        <v>807</v>
      </c>
      <c r="D157" s="7" t="s">
        <v>582</v>
      </c>
      <c r="E157" s="7" t="s">
        <v>79</v>
      </c>
      <c r="F157" s="7" t="s">
        <v>808</v>
      </c>
      <c r="G157" s="7"/>
      <c r="H157" s="6" t="n">
        <f aca="false">LEN(F157)</f>
        <v>4</v>
      </c>
      <c r="I157" s="6" t="n">
        <v>4</v>
      </c>
      <c r="J157" s="6" t="n">
        <v>3</v>
      </c>
      <c r="K157" s="8" t="s">
        <v>14</v>
      </c>
      <c r="L157" s="7" t="s">
        <v>809</v>
      </c>
      <c r="M157" s="7" t="s">
        <v>769</v>
      </c>
      <c r="N157" s="7" t="s">
        <v>164</v>
      </c>
      <c r="O157" s="7" t="s">
        <v>810</v>
      </c>
    </row>
    <row r="158" customFormat="false" ht="15" hidden="false" customHeight="false" outlineLevel="0" collapsed="false">
      <c r="A158" s="6" t="n">
        <v>60</v>
      </c>
      <c r="B158" s="7" t="s">
        <v>157</v>
      </c>
      <c r="C158" s="7" t="s">
        <v>183</v>
      </c>
      <c r="D158" s="7" t="s">
        <v>811</v>
      </c>
      <c r="E158" s="7" t="s">
        <v>79</v>
      </c>
      <c r="F158" s="7" t="s">
        <v>812</v>
      </c>
      <c r="G158" s="7" t="s">
        <v>813</v>
      </c>
      <c r="H158" s="6" t="n">
        <f aca="false">LEN(F158)</f>
        <v>26</v>
      </c>
      <c r="I158" s="6" t="n">
        <v>5</v>
      </c>
      <c r="J158" s="6" t="n">
        <v>3</v>
      </c>
      <c r="K158" s="8" t="s">
        <v>14</v>
      </c>
      <c r="L158" s="7" t="s">
        <v>814</v>
      </c>
      <c r="M158" s="7"/>
      <c r="N158" s="7" t="s">
        <v>164</v>
      </c>
      <c r="O158" s="7" t="s">
        <v>815</v>
      </c>
    </row>
    <row r="159" customFormat="false" ht="23.85" hidden="false" customHeight="false" outlineLevel="0" collapsed="false">
      <c r="A159" s="6" t="n">
        <v>81</v>
      </c>
      <c r="B159" s="7" t="s">
        <v>157</v>
      </c>
      <c r="C159" s="7" t="s">
        <v>618</v>
      </c>
      <c r="D159" s="7" t="s">
        <v>816</v>
      </c>
      <c r="E159" s="7" t="s">
        <v>583</v>
      </c>
      <c r="F159" s="7" t="s">
        <v>817</v>
      </c>
      <c r="G159" s="7"/>
      <c r="H159" s="6" t="n">
        <f aca="false">LEN(F159)</f>
        <v>56</v>
      </c>
      <c r="I159" s="6" t="n">
        <v>5</v>
      </c>
      <c r="J159" s="6" t="n">
        <v>3</v>
      </c>
      <c r="K159" s="8" t="s">
        <v>14</v>
      </c>
      <c r="L159" s="7" t="s">
        <v>818</v>
      </c>
      <c r="M159" s="7"/>
      <c r="N159" s="7" t="s">
        <v>819</v>
      </c>
      <c r="O159" s="7" t="s">
        <v>820</v>
      </c>
    </row>
    <row r="160" customFormat="false" ht="23.85" hidden="false" customHeight="false" outlineLevel="0" collapsed="false">
      <c r="A160" s="6" t="n">
        <v>87</v>
      </c>
      <c r="B160" s="7" t="s">
        <v>337</v>
      </c>
      <c r="C160" s="7" t="s">
        <v>821</v>
      </c>
      <c r="D160" s="7" t="s">
        <v>822</v>
      </c>
      <c r="E160" s="7" t="s">
        <v>583</v>
      </c>
      <c r="F160" s="7" t="s">
        <v>823</v>
      </c>
      <c r="G160" s="7"/>
      <c r="H160" s="6" t="n">
        <f aca="false">LEN(F160)</f>
        <v>37</v>
      </c>
      <c r="I160" s="6" t="n">
        <v>5</v>
      </c>
      <c r="J160" s="6" t="n">
        <v>3</v>
      </c>
      <c r="K160" s="8" t="s">
        <v>14</v>
      </c>
      <c r="L160" s="7" t="s">
        <v>824</v>
      </c>
      <c r="M160" s="7"/>
      <c r="N160" s="7" t="s">
        <v>342</v>
      </c>
      <c r="O160" s="7" t="s">
        <v>825</v>
      </c>
    </row>
    <row r="161" customFormat="false" ht="23.85" hidden="false" customHeight="false" outlineLevel="0" collapsed="false">
      <c r="A161" s="6" t="n">
        <v>95</v>
      </c>
      <c r="B161" s="7" t="s">
        <v>239</v>
      </c>
      <c r="C161" s="7" t="s">
        <v>240</v>
      </c>
      <c r="D161" s="7" t="s">
        <v>826</v>
      </c>
      <c r="E161" s="7" t="s">
        <v>242</v>
      </c>
      <c r="F161" s="7" t="s">
        <v>827</v>
      </c>
      <c r="G161" s="7"/>
      <c r="H161" s="6" t="n">
        <f aca="false">LEN(F161)</f>
        <v>13</v>
      </c>
      <c r="I161" s="6" t="n">
        <v>2</v>
      </c>
      <c r="J161" s="6" t="n">
        <v>3</v>
      </c>
      <c r="K161" s="8" t="s">
        <v>14</v>
      </c>
      <c r="L161" s="7" t="s">
        <v>828</v>
      </c>
      <c r="M161" s="7" t="s">
        <v>829</v>
      </c>
      <c r="N161" s="7" t="s">
        <v>830</v>
      </c>
      <c r="O161" s="7" t="s">
        <v>831</v>
      </c>
    </row>
    <row r="162" customFormat="false" ht="15" hidden="false" customHeight="false" outlineLevel="0" collapsed="false">
      <c r="A162" s="6" t="n">
        <v>96</v>
      </c>
      <c r="B162" s="7" t="s">
        <v>239</v>
      </c>
      <c r="C162" s="7" t="s">
        <v>297</v>
      </c>
      <c r="D162" s="7" t="s">
        <v>832</v>
      </c>
      <c r="E162" s="7" t="s">
        <v>242</v>
      </c>
      <c r="F162" s="7" t="s">
        <v>833</v>
      </c>
      <c r="G162" s="7"/>
      <c r="H162" s="6" t="n">
        <f aca="false">LEN(F162)</f>
        <v>18</v>
      </c>
      <c r="I162" s="6" t="n">
        <v>5</v>
      </c>
      <c r="J162" s="6" t="n">
        <v>3</v>
      </c>
      <c r="K162" s="8" t="s">
        <v>14</v>
      </c>
      <c r="L162" s="7" t="s">
        <v>834</v>
      </c>
      <c r="M162" s="7"/>
      <c r="N162" s="7" t="s">
        <v>830</v>
      </c>
      <c r="O162" s="7" t="s">
        <v>831</v>
      </c>
    </row>
    <row r="163" customFormat="false" ht="15" hidden="false" customHeight="false" outlineLevel="0" collapsed="false">
      <c r="A163" s="6" t="n">
        <v>115</v>
      </c>
      <c r="B163" s="7" t="s">
        <v>337</v>
      </c>
      <c r="C163" s="7" t="s">
        <v>660</v>
      </c>
      <c r="D163" s="7" t="s">
        <v>582</v>
      </c>
      <c r="E163" s="7" t="s">
        <v>79</v>
      </c>
      <c r="F163" s="7" t="s">
        <v>835</v>
      </c>
      <c r="G163" s="7"/>
      <c r="H163" s="6" t="n">
        <f aca="false">LEN(F163)</f>
        <v>14</v>
      </c>
      <c r="I163" s="6" t="n">
        <v>5</v>
      </c>
      <c r="J163" s="6" t="n">
        <v>3</v>
      </c>
      <c r="K163" s="8" t="s">
        <v>14</v>
      </c>
      <c r="L163" s="7" t="s">
        <v>836</v>
      </c>
      <c r="M163" s="7"/>
      <c r="N163" s="7" t="s">
        <v>342</v>
      </c>
      <c r="O163" s="7" t="s">
        <v>837</v>
      </c>
    </row>
    <row r="164" customFormat="false" ht="23.85" hidden="false" customHeight="false" outlineLevel="0" collapsed="false">
      <c r="A164" s="6" t="n">
        <v>125</v>
      </c>
      <c r="B164" s="7" t="s">
        <v>337</v>
      </c>
      <c r="C164" s="7" t="s">
        <v>338</v>
      </c>
      <c r="D164" s="7" t="s">
        <v>838</v>
      </c>
      <c r="E164" s="7" t="s">
        <v>79</v>
      </c>
      <c r="F164" s="7" t="s">
        <v>839</v>
      </c>
      <c r="G164" s="7"/>
      <c r="H164" s="6" t="n">
        <f aca="false">LEN(F164)</f>
        <v>27</v>
      </c>
      <c r="I164" s="6" t="n">
        <v>5</v>
      </c>
      <c r="J164" s="6" t="n">
        <v>3</v>
      </c>
      <c r="K164" s="8" t="s">
        <v>14</v>
      </c>
      <c r="L164" s="7" t="s">
        <v>621</v>
      </c>
      <c r="M164" s="7"/>
      <c r="N164" s="7" t="s">
        <v>342</v>
      </c>
      <c r="O164" s="7" t="s">
        <v>840</v>
      </c>
    </row>
    <row r="165" customFormat="false" ht="15" hidden="false" customHeight="false" outlineLevel="0" collapsed="false">
      <c r="A165" s="6" t="n">
        <v>129</v>
      </c>
      <c r="B165" s="7" t="s">
        <v>337</v>
      </c>
      <c r="C165" s="7" t="s">
        <v>347</v>
      </c>
      <c r="D165" s="7" t="s">
        <v>841</v>
      </c>
      <c r="E165" s="7" t="s">
        <v>79</v>
      </c>
      <c r="F165" s="7" t="s">
        <v>842</v>
      </c>
      <c r="G165" s="7"/>
      <c r="H165" s="6" t="n">
        <f aca="false">LEN(F165)</f>
        <v>22</v>
      </c>
      <c r="I165" s="6" t="n">
        <v>4</v>
      </c>
      <c r="J165" s="6" t="n">
        <v>3</v>
      </c>
      <c r="K165" s="8" t="s">
        <v>14</v>
      </c>
      <c r="L165" s="7" t="s">
        <v>843</v>
      </c>
      <c r="M165" s="7"/>
      <c r="N165" s="7" t="s">
        <v>342</v>
      </c>
      <c r="O165" s="7" t="s">
        <v>844</v>
      </c>
    </row>
    <row r="166" customFormat="false" ht="15" hidden="false" customHeight="false" outlineLevel="0" collapsed="false">
      <c r="A166" s="6" t="n">
        <v>130</v>
      </c>
      <c r="B166" s="7" t="s">
        <v>337</v>
      </c>
      <c r="C166" s="7" t="s">
        <v>347</v>
      </c>
      <c r="D166" s="7" t="s">
        <v>845</v>
      </c>
      <c r="E166" s="7" t="s">
        <v>79</v>
      </c>
      <c r="F166" s="7" t="s">
        <v>846</v>
      </c>
      <c r="G166" s="7"/>
      <c r="H166" s="6" t="n">
        <f aca="false">LEN(F166)</f>
        <v>42</v>
      </c>
      <c r="I166" s="6" t="n">
        <v>5</v>
      </c>
      <c r="J166" s="6" t="n">
        <v>3</v>
      </c>
      <c r="K166" s="8" t="s">
        <v>14</v>
      </c>
      <c r="L166" s="7" t="s">
        <v>847</v>
      </c>
      <c r="M166" s="7"/>
      <c r="N166" s="7" t="s">
        <v>342</v>
      </c>
      <c r="O166" s="7" t="s">
        <v>848</v>
      </c>
    </row>
    <row r="167" customFormat="false" ht="23.85" hidden="false" customHeight="false" outlineLevel="0" collapsed="false">
      <c r="A167" s="6" t="n">
        <v>159</v>
      </c>
      <c r="B167" s="7" t="s">
        <v>337</v>
      </c>
      <c r="C167" s="7" t="s">
        <v>692</v>
      </c>
      <c r="D167" s="7" t="s">
        <v>849</v>
      </c>
      <c r="E167" s="7" t="s">
        <v>79</v>
      </c>
      <c r="F167" s="7" t="s">
        <v>850</v>
      </c>
      <c r="G167" s="7"/>
      <c r="H167" s="6" t="n">
        <f aca="false">LEN(F167)</f>
        <v>18</v>
      </c>
      <c r="I167" s="6" t="n">
        <v>5</v>
      </c>
      <c r="J167" s="6" t="n">
        <v>3</v>
      </c>
      <c r="K167" s="8" t="s">
        <v>14</v>
      </c>
      <c r="L167" s="7" t="s">
        <v>851</v>
      </c>
      <c r="M167" s="7"/>
      <c r="N167" s="7" t="s">
        <v>342</v>
      </c>
      <c r="O167" s="7" t="s">
        <v>852</v>
      </c>
    </row>
    <row r="168" customFormat="false" ht="23.85" hidden="false" customHeight="false" outlineLevel="0" collapsed="false">
      <c r="A168" s="6" t="n">
        <v>178</v>
      </c>
      <c r="B168" s="7" t="s">
        <v>460</v>
      </c>
      <c r="C168" s="7" t="s">
        <v>468</v>
      </c>
      <c r="D168" s="7" t="s">
        <v>853</v>
      </c>
      <c r="E168" s="7" t="s">
        <v>79</v>
      </c>
      <c r="F168" s="7" t="s">
        <v>854</v>
      </c>
      <c r="G168" s="7" t="s">
        <v>855</v>
      </c>
      <c r="H168" s="6" t="n">
        <f aca="false">LEN(F168)</f>
        <v>7</v>
      </c>
      <c r="I168" s="6" t="n">
        <v>4</v>
      </c>
      <c r="J168" s="6" t="n">
        <v>3</v>
      </c>
      <c r="K168" s="7" t="s">
        <v>12</v>
      </c>
      <c r="L168" s="7" t="s">
        <v>856</v>
      </c>
      <c r="M168" s="7"/>
      <c r="N168" s="7" t="s">
        <v>466</v>
      </c>
      <c r="O168" s="7" t="s">
        <v>857</v>
      </c>
    </row>
    <row r="169" customFormat="false" ht="23.85" hidden="false" customHeight="false" outlineLevel="0" collapsed="false">
      <c r="A169" s="6" t="n">
        <v>179</v>
      </c>
      <c r="B169" s="7" t="s">
        <v>460</v>
      </c>
      <c r="C169" s="7" t="s">
        <v>468</v>
      </c>
      <c r="D169" s="7" t="s">
        <v>853</v>
      </c>
      <c r="E169" s="7" t="s">
        <v>79</v>
      </c>
      <c r="F169" s="7" t="s">
        <v>858</v>
      </c>
      <c r="G169" s="7"/>
      <c r="H169" s="6" t="n">
        <f aca="false">LEN(F169)</f>
        <v>8</v>
      </c>
      <c r="I169" s="6" t="n">
        <v>4</v>
      </c>
      <c r="J169" s="6" t="n">
        <v>3</v>
      </c>
      <c r="K169" s="7" t="s">
        <v>12</v>
      </c>
      <c r="L169" s="7" t="s">
        <v>856</v>
      </c>
      <c r="M169" s="7"/>
      <c r="N169" s="7" t="s">
        <v>466</v>
      </c>
      <c r="O169" s="7" t="s">
        <v>859</v>
      </c>
    </row>
    <row r="170" customFormat="false" ht="23.85" hidden="false" customHeight="false" outlineLevel="0" collapsed="false">
      <c r="A170" s="6" t="n">
        <v>192</v>
      </c>
      <c r="B170" s="7" t="s">
        <v>500</v>
      </c>
      <c r="C170" s="7" t="s">
        <v>860</v>
      </c>
      <c r="D170" s="7" t="s">
        <v>861</v>
      </c>
      <c r="E170" s="7" t="s">
        <v>79</v>
      </c>
      <c r="F170" s="7" t="s">
        <v>862</v>
      </c>
      <c r="G170" s="7" t="s">
        <v>863</v>
      </c>
      <c r="H170" s="6" t="n">
        <f aca="false">LEN(F170)</f>
        <v>10</v>
      </c>
      <c r="I170" s="6" t="n">
        <v>4</v>
      </c>
      <c r="J170" s="6" t="n">
        <v>3</v>
      </c>
      <c r="K170" s="7" t="s">
        <v>12</v>
      </c>
      <c r="L170" s="7" t="s">
        <v>864</v>
      </c>
      <c r="M170" s="7"/>
      <c r="N170" s="7" t="s">
        <v>506</v>
      </c>
      <c r="O170" s="7" t="s">
        <v>865</v>
      </c>
    </row>
    <row r="171" customFormat="false" ht="23.85" hidden="false" customHeight="false" outlineLevel="0" collapsed="false">
      <c r="A171" s="6" t="n">
        <v>200</v>
      </c>
      <c r="B171" s="7" t="s">
        <v>514</v>
      </c>
      <c r="C171" s="7" t="s">
        <v>866</v>
      </c>
      <c r="D171" s="7" t="s">
        <v>867</v>
      </c>
      <c r="E171" s="7" t="s">
        <v>79</v>
      </c>
      <c r="F171" s="7" t="s">
        <v>868</v>
      </c>
      <c r="G171" s="7"/>
      <c r="H171" s="6" t="n">
        <f aca="false">LEN(F171)</f>
        <v>29</v>
      </c>
      <c r="I171" s="6" t="n">
        <v>3</v>
      </c>
      <c r="J171" s="6" t="n">
        <v>3</v>
      </c>
      <c r="K171" s="7" t="s">
        <v>13</v>
      </c>
      <c r="L171" s="7" t="s">
        <v>869</v>
      </c>
      <c r="M171" s="7" t="s">
        <v>870</v>
      </c>
      <c r="N171" s="7" t="s">
        <v>519</v>
      </c>
      <c r="O171" s="7" t="s">
        <v>610</v>
      </c>
    </row>
    <row r="172" customFormat="false" ht="23.85" hidden="false" customHeight="false" outlineLevel="0" collapsed="false">
      <c r="A172" s="6" t="n">
        <v>201</v>
      </c>
      <c r="B172" s="7" t="s">
        <v>514</v>
      </c>
      <c r="C172" s="7" t="s">
        <v>866</v>
      </c>
      <c r="D172" s="7" t="s">
        <v>871</v>
      </c>
      <c r="E172" s="7" t="s">
        <v>79</v>
      </c>
      <c r="F172" s="7" t="s">
        <v>872</v>
      </c>
      <c r="G172" s="7"/>
      <c r="H172" s="6" t="n">
        <f aca="false">LEN(F172)</f>
        <v>28</v>
      </c>
      <c r="I172" s="6" t="n">
        <v>3</v>
      </c>
      <c r="J172" s="6" t="n">
        <v>3</v>
      </c>
      <c r="K172" s="7" t="s">
        <v>13</v>
      </c>
      <c r="L172" s="7" t="s">
        <v>873</v>
      </c>
      <c r="M172" s="7" t="s">
        <v>874</v>
      </c>
      <c r="N172" s="7" t="s">
        <v>519</v>
      </c>
      <c r="O172" s="7" t="s">
        <v>610</v>
      </c>
    </row>
    <row r="173" customFormat="false" ht="23.85" hidden="false" customHeight="false" outlineLevel="0" collapsed="false">
      <c r="A173" s="6" t="n">
        <v>202</v>
      </c>
      <c r="B173" s="7" t="s">
        <v>514</v>
      </c>
      <c r="C173" s="7" t="s">
        <v>866</v>
      </c>
      <c r="D173" s="7" t="s">
        <v>875</v>
      </c>
      <c r="E173" s="7" t="s">
        <v>79</v>
      </c>
      <c r="F173" s="7" t="s">
        <v>876</v>
      </c>
      <c r="G173" s="7"/>
      <c r="H173" s="6" t="n">
        <f aca="false">LEN(F173)</f>
        <v>29</v>
      </c>
      <c r="I173" s="6" t="n">
        <v>3</v>
      </c>
      <c r="J173" s="6" t="n">
        <v>3</v>
      </c>
      <c r="K173" s="7" t="s">
        <v>13</v>
      </c>
      <c r="L173" s="7" t="s">
        <v>877</v>
      </c>
      <c r="M173" s="7" t="s">
        <v>878</v>
      </c>
      <c r="N173" s="7" t="s">
        <v>519</v>
      </c>
      <c r="O173" s="7" t="s">
        <v>612</v>
      </c>
    </row>
    <row r="174" customFormat="false" ht="15" hidden="false" customHeight="false" outlineLevel="0" collapsed="false">
      <c r="A174" s="6" t="n">
        <v>203</v>
      </c>
      <c r="B174" s="7" t="s">
        <v>514</v>
      </c>
      <c r="C174" s="7" t="s">
        <v>866</v>
      </c>
      <c r="D174" s="7" t="s">
        <v>879</v>
      </c>
      <c r="E174" s="7" t="s">
        <v>79</v>
      </c>
      <c r="F174" s="7" t="s">
        <v>880</v>
      </c>
      <c r="G174" s="7"/>
      <c r="H174" s="6" t="n">
        <f aca="false">LEN(F174)</f>
        <v>15</v>
      </c>
      <c r="I174" s="6" t="n">
        <v>5</v>
      </c>
      <c r="J174" s="6" t="n">
        <v>3</v>
      </c>
      <c r="K174" s="7" t="s">
        <v>12</v>
      </c>
      <c r="L174" s="7" t="s">
        <v>881</v>
      </c>
      <c r="M174" s="7"/>
      <c r="N174" s="7" t="s">
        <v>519</v>
      </c>
      <c r="O174" s="7" t="s">
        <v>612</v>
      </c>
    </row>
    <row r="175" customFormat="false" ht="15" hidden="false" customHeight="false" outlineLevel="0" collapsed="false">
      <c r="A175" s="6" t="n">
        <v>209</v>
      </c>
      <c r="B175" s="7" t="s">
        <v>514</v>
      </c>
      <c r="C175" s="7" t="s">
        <v>882</v>
      </c>
      <c r="D175" s="7" t="s">
        <v>599</v>
      </c>
      <c r="E175" s="7" t="s">
        <v>79</v>
      </c>
      <c r="F175" s="7" t="s">
        <v>883</v>
      </c>
      <c r="G175" s="7"/>
      <c r="H175" s="6" t="n">
        <f aca="false">LEN(F175)</f>
        <v>20</v>
      </c>
      <c r="I175" s="6" t="n">
        <v>5</v>
      </c>
      <c r="J175" s="6" t="n">
        <v>3</v>
      </c>
      <c r="K175" s="8" t="s">
        <v>14</v>
      </c>
      <c r="L175" s="7" t="s">
        <v>621</v>
      </c>
      <c r="M175" s="7"/>
      <c r="N175" s="7" t="s">
        <v>519</v>
      </c>
      <c r="O175" s="7" t="s">
        <v>884</v>
      </c>
    </row>
    <row r="176" customFormat="false" ht="15" hidden="false" customHeight="false" outlineLevel="0" collapsed="false">
      <c r="A176" s="6" t="n">
        <v>212</v>
      </c>
      <c r="B176" s="7" t="s">
        <v>229</v>
      </c>
      <c r="C176" s="7" t="s">
        <v>885</v>
      </c>
      <c r="D176" s="7" t="s">
        <v>582</v>
      </c>
      <c r="E176" s="7" t="s">
        <v>79</v>
      </c>
      <c r="F176" s="7" t="s">
        <v>769</v>
      </c>
      <c r="G176" s="7"/>
      <c r="H176" s="6" t="n">
        <f aca="false">LEN(F176)</f>
        <v>18</v>
      </c>
      <c r="I176" s="6" t="n">
        <v>4</v>
      </c>
      <c r="J176" s="6" t="n">
        <v>3</v>
      </c>
      <c r="K176" s="8" t="s">
        <v>14</v>
      </c>
      <c r="L176" s="7" t="s">
        <v>886</v>
      </c>
      <c r="M176" s="7"/>
      <c r="N176" s="7" t="s">
        <v>771</v>
      </c>
      <c r="O176" s="7" t="s">
        <v>887</v>
      </c>
    </row>
    <row r="177" customFormat="false" ht="23.85" hidden="false" customHeight="false" outlineLevel="0" collapsed="false">
      <c r="A177" s="6" t="n">
        <v>13</v>
      </c>
      <c r="B177" s="7" t="s">
        <v>76</v>
      </c>
      <c r="C177" s="7" t="s">
        <v>85</v>
      </c>
      <c r="D177" s="7" t="s">
        <v>582</v>
      </c>
      <c r="E177" s="7" t="s">
        <v>79</v>
      </c>
      <c r="F177" s="7" t="s">
        <v>888</v>
      </c>
      <c r="G177" s="7"/>
      <c r="H177" s="6" t="n">
        <f aca="false">LEN(F177)</f>
        <v>27</v>
      </c>
      <c r="I177" s="6" t="n">
        <v>5</v>
      </c>
      <c r="J177" s="6" t="n">
        <v>2</v>
      </c>
      <c r="K177" s="7" t="s">
        <v>14</v>
      </c>
      <c r="L177" s="7" t="s">
        <v>889</v>
      </c>
      <c r="M177" s="7"/>
      <c r="N177" s="7" t="s">
        <v>90</v>
      </c>
      <c r="O177" s="7" t="s">
        <v>890</v>
      </c>
    </row>
    <row r="178" customFormat="false" ht="23.85" hidden="true" customHeight="false" outlineLevel="0" collapsed="false">
      <c r="A178" s="6" t="n">
        <v>17</v>
      </c>
      <c r="B178" s="7" t="s">
        <v>76</v>
      </c>
      <c r="C178" s="7" t="s">
        <v>85</v>
      </c>
      <c r="D178" s="7" t="s">
        <v>891</v>
      </c>
      <c r="E178" s="7" t="s">
        <v>79</v>
      </c>
      <c r="F178" s="7" t="s">
        <v>892</v>
      </c>
      <c r="G178" s="7"/>
      <c r="H178" s="6" t="n">
        <f aca="false">LEN(F178)</f>
        <v>25</v>
      </c>
      <c r="I178" s="6" t="n">
        <v>5</v>
      </c>
      <c r="J178" s="6" t="n">
        <v>2</v>
      </c>
      <c r="K178" s="7" t="s">
        <v>14</v>
      </c>
      <c r="L178" s="7" t="s">
        <v>893</v>
      </c>
      <c r="M178" s="7"/>
      <c r="N178" s="7" t="s">
        <v>90</v>
      </c>
      <c r="O178" s="7" t="s">
        <v>894</v>
      </c>
    </row>
    <row r="179" customFormat="false" ht="23.85" hidden="true" customHeight="false" outlineLevel="0" collapsed="false">
      <c r="A179" s="6" t="n">
        <v>18</v>
      </c>
      <c r="B179" s="7" t="s">
        <v>76</v>
      </c>
      <c r="C179" s="7" t="s">
        <v>85</v>
      </c>
      <c r="D179" s="7" t="s">
        <v>895</v>
      </c>
      <c r="E179" s="7" t="s">
        <v>79</v>
      </c>
      <c r="F179" s="7" t="s">
        <v>896</v>
      </c>
      <c r="G179" s="7"/>
      <c r="H179" s="6" t="n">
        <f aca="false">LEN(F179)</f>
        <v>37</v>
      </c>
      <c r="I179" s="6" t="n">
        <v>5</v>
      </c>
      <c r="J179" s="6" t="n">
        <v>2</v>
      </c>
      <c r="K179" s="7" t="s">
        <v>14</v>
      </c>
      <c r="L179" s="7" t="s">
        <v>897</v>
      </c>
      <c r="M179" s="7"/>
      <c r="N179" s="7" t="s">
        <v>90</v>
      </c>
      <c r="O179" s="7" t="s">
        <v>898</v>
      </c>
    </row>
    <row r="180" customFormat="false" ht="23.85" hidden="true" customHeight="false" outlineLevel="0" collapsed="false">
      <c r="A180" s="6" t="n">
        <v>30</v>
      </c>
      <c r="B180" s="7" t="s">
        <v>76</v>
      </c>
      <c r="C180" s="7" t="s">
        <v>899</v>
      </c>
      <c r="D180" s="7" t="s">
        <v>900</v>
      </c>
      <c r="E180" s="7" t="s">
        <v>79</v>
      </c>
      <c r="F180" s="7" t="s">
        <v>901</v>
      </c>
      <c r="G180" s="7"/>
      <c r="H180" s="6" t="n">
        <f aca="false">LEN(F180)</f>
        <v>15</v>
      </c>
      <c r="I180" s="6" t="n">
        <v>3</v>
      </c>
      <c r="J180" s="6" t="n">
        <v>2</v>
      </c>
      <c r="K180" s="7" t="s">
        <v>14</v>
      </c>
      <c r="L180" s="7" t="s">
        <v>902</v>
      </c>
      <c r="M180" s="7" t="s">
        <v>903</v>
      </c>
      <c r="N180" s="7" t="s">
        <v>90</v>
      </c>
      <c r="O180" s="7" t="s">
        <v>904</v>
      </c>
    </row>
    <row r="181" customFormat="false" ht="23.85" hidden="false" customHeight="false" outlineLevel="0" collapsed="false">
      <c r="A181" s="6" t="n">
        <v>37</v>
      </c>
      <c r="B181" s="7" t="s">
        <v>146</v>
      </c>
      <c r="C181" s="7" t="s">
        <v>905</v>
      </c>
      <c r="D181" s="7" t="s">
        <v>900</v>
      </c>
      <c r="E181" s="7" t="s">
        <v>79</v>
      </c>
      <c r="F181" s="7" t="s">
        <v>906</v>
      </c>
      <c r="G181" s="7"/>
      <c r="H181" s="6" t="n">
        <f aca="false">LEN(F181)</f>
        <v>27</v>
      </c>
      <c r="I181" s="6" t="n">
        <v>3</v>
      </c>
      <c r="J181" s="6" t="n">
        <v>2</v>
      </c>
      <c r="K181" s="8" t="s">
        <v>14</v>
      </c>
      <c r="L181" s="7" t="s">
        <v>907</v>
      </c>
      <c r="M181" s="7" t="s">
        <v>600</v>
      </c>
      <c r="N181" s="7" t="s">
        <v>151</v>
      </c>
      <c r="O181" s="7" t="s">
        <v>908</v>
      </c>
    </row>
    <row r="182" customFormat="false" ht="15" hidden="true" customHeight="false" outlineLevel="0" collapsed="false">
      <c r="A182" s="6" t="n">
        <v>39</v>
      </c>
      <c r="B182" s="7" t="s">
        <v>146</v>
      </c>
      <c r="C182" s="7" t="s">
        <v>598</v>
      </c>
      <c r="D182" s="7" t="s">
        <v>909</v>
      </c>
      <c r="E182" s="7" t="s">
        <v>79</v>
      </c>
      <c r="F182" s="7" t="s">
        <v>910</v>
      </c>
      <c r="G182" s="7"/>
      <c r="H182" s="6" t="n">
        <f aca="false">LEN(F182)</f>
        <v>25</v>
      </c>
      <c r="I182" s="6" t="n">
        <v>5</v>
      </c>
      <c r="J182" s="6" t="n">
        <v>2</v>
      </c>
      <c r="K182" s="7" t="s">
        <v>14</v>
      </c>
      <c r="L182" s="7" t="s">
        <v>911</v>
      </c>
      <c r="M182" s="7"/>
      <c r="N182" s="7" t="s">
        <v>151</v>
      </c>
      <c r="O182" s="7" t="s">
        <v>912</v>
      </c>
    </row>
    <row r="183" customFormat="false" ht="15" hidden="true" customHeight="false" outlineLevel="0" collapsed="false">
      <c r="A183" s="6" t="n">
        <v>40</v>
      </c>
      <c r="B183" s="7" t="s">
        <v>146</v>
      </c>
      <c r="C183" s="7" t="s">
        <v>913</v>
      </c>
      <c r="D183" s="7" t="s">
        <v>914</v>
      </c>
      <c r="E183" s="7" t="s">
        <v>79</v>
      </c>
      <c r="F183" s="7" t="s">
        <v>600</v>
      </c>
      <c r="G183" s="7"/>
      <c r="H183" s="6" t="n">
        <f aca="false">LEN(F183)</f>
        <v>15</v>
      </c>
      <c r="I183" s="6" t="n">
        <v>5</v>
      </c>
      <c r="J183" s="6" t="n">
        <v>2</v>
      </c>
      <c r="K183" s="7" t="s">
        <v>14</v>
      </c>
      <c r="L183" s="7" t="s">
        <v>911</v>
      </c>
      <c r="M183" s="7"/>
      <c r="N183" s="7" t="s">
        <v>151</v>
      </c>
      <c r="O183" s="7" t="s">
        <v>915</v>
      </c>
    </row>
    <row r="184" customFormat="false" ht="15" hidden="true" customHeight="false" outlineLevel="0" collapsed="false">
      <c r="A184" s="6" t="n">
        <v>41</v>
      </c>
      <c r="B184" s="7" t="s">
        <v>146</v>
      </c>
      <c r="C184" s="7" t="s">
        <v>916</v>
      </c>
      <c r="D184" s="7" t="s">
        <v>917</v>
      </c>
      <c r="E184" s="7" t="s">
        <v>79</v>
      </c>
      <c r="F184" s="7" t="s">
        <v>918</v>
      </c>
      <c r="G184" s="7"/>
      <c r="H184" s="6" t="n">
        <f aca="false">LEN(F184)</f>
        <v>17</v>
      </c>
      <c r="I184" s="6" t="n">
        <v>5</v>
      </c>
      <c r="J184" s="6" t="n">
        <v>2</v>
      </c>
      <c r="K184" s="7" t="s">
        <v>14</v>
      </c>
      <c r="L184" s="7" t="s">
        <v>911</v>
      </c>
      <c r="M184" s="7"/>
      <c r="N184" s="7" t="s">
        <v>151</v>
      </c>
      <c r="O184" s="7" t="s">
        <v>919</v>
      </c>
    </row>
    <row r="185" customFormat="false" ht="23.85" hidden="true" customHeight="false" outlineLevel="0" collapsed="false">
      <c r="A185" s="6" t="n">
        <v>67</v>
      </c>
      <c r="B185" s="7" t="s">
        <v>157</v>
      </c>
      <c r="C185" s="7" t="s">
        <v>210</v>
      </c>
      <c r="D185" s="7" t="s">
        <v>751</v>
      </c>
      <c r="E185" s="7" t="s">
        <v>79</v>
      </c>
      <c r="F185" s="7" t="s">
        <v>920</v>
      </c>
      <c r="G185" s="7" t="s">
        <v>921</v>
      </c>
      <c r="H185" s="6" t="n">
        <f aca="false">LEN(F185)</f>
        <v>37</v>
      </c>
      <c r="I185" s="6" t="n">
        <v>5</v>
      </c>
      <c r="J185" s="6" t="n">
        <v>2</v>
      </c>
      <c r="K185" s="7" t="s">
        <v>14</v>
      </c>
      <c r="L185" s="7" t="s">
        <v>922</v>
      </c>
      <c r="M185" s="7"/>
      <c r="N185" s="7" t="s">
        <v>164</v>
      </c>
      <c r="O185" s="7" t="s">
        <v>923</v>
      </c>
    </row>
    <row r="186" customFormat="false" ht="15" hidden="true" customHeight="false" outlineLevel="0" collapsed="false">
      <c r="A186" s="6" t="n">
        <v>72</v>
      </c>
      <c r="B186" s="7" t="s">
        <v>157</v>
      </c>
      <c r="C186" s="7" t="s">
        <v>225</v>
      </c>
      <c r="D186" s="7" t="s">
        <v>924</v>
      </c>
      <c r="E186" s="7" t="s">
        <v>79</v>
      </c>
      <c r="F186" s="7" t="s">
        <v>925</v>
      </c>
      <c r="G186" s="7"/>
      <c r="H186" s="6" t="n">
        <f aca="false">LEN(F186)</f>
        <v>40</v>
      </c>
      <c r="I186" s="6" t="n">
        <v>5</v>
      </c>
      <c r="J186" s="6" t="n">
        <v>2</v>
      </c>
      <c r="K186" s="7" t="s">
        <v>14</v>
      </c>
      <c r="L186" s="7" t="s">
        <v>911</v>
      </c>
      <c r="M186" s="7"/>
      <c r="N186" s="7" t="s">
        <v>164</v>
      </c>
      <c r="O186" s="7" t="s">
        <v>228</v>
      </c>
    </row>
    <row r="187" customFormat="false" ht="23.85" hidden="true" customHeight="false" outlineLevel="0" collapsed="false">
      <c r="A187" s="6" t="n">
        <v>123</v>
      </c>
      <c r="B187" s="7" t="s">
        <v>337</v>
      </c>
      <c r="C187" s="7" t="s">
        <v>338</v>
      </c>
      <c r="D187" s="7" t="s">
        <v>926</v>
      </c>
      <c r="E187" s="7" t="s">
        <v>79</v>
      </c>
      <c r="F187" s="7" t="s">
        <v>927</v>
      </c>
      <c r="G187" s="7" t="s">
        <v>928</v>
      </c>
      <c r="H187" s="6" t="n">
        <f aca="false">LEN(F187)</f>
        <v>43</v>
      </c>
      <c r="I187" s="6" t="n">
        <v>5</v>
      </c>
      <c r="J187" s="6" t="n">
        <v>2</v>
      </c>
      <c r="K187" s="7" t="s">
        <v>14</v>
      </c>
      <c r="L187" s="7" t="s">
        <v>922</v>
      </c>
      <c r="M187" s="7"/>
      <c r="N187" s="7" t="s">
        <v>342</v>
      </c>
      <c r="O187" s="7" t="s">
        <v>929</v>
      </c>
    </row>
    <row r="188" customFormat="false" ht="23.85" hidden="false" customHeight="false" outlineLevel="0" collapsed="false">
      <c r="A188" s="6" t="n">
        <v>126</v>
      </c>
      <c r="B188" s="7" t="s">
        <v>337</v>
      </c>
      <c r="C188" s="7" t="s">
        <v>666</v>
      </c>
      <c r="D188" s="7" t="s">
        <v>930</v>
      </c>
      <c r="E188" s="7" t="s">
        <v>242</v>
      </c>
      <c r="F188" s="7" t="s">
        <v>931</v>
      </c>
      <c r="G188" s="7" t="s">
        <v>932</v>
      </c>
      <c r="H188" s="6" t="n">
        <f aca="false">LEN(F188)</f>
        <v>9</v>
      </c>
      <c r="I188" s="6" t="n">
        <v>5</v>
      </c>
      <c r="J188" s="6" t="n">
        <v>2</v>
      </c>
      <c r="K188" s="8" t="s">
        <v>14</v>
      </c>
      <c r="L188" s="7" t="s">
        <v>933</v>
      </c>
      <c r="M188" s="7"/>
      <c r="N188" s="7" t="s">
        <v>342</v>
      </c>
      <c r="O188" s="7" t="s">
        <v>934</v>
      </c>
    </row>
    <row r="189" customFormat="false" ht="23.85" hidden="true" customHeight="false" outlineLevel="0" collapsed="false">
      <c r="A189" s="6" t="n">
        <v>156</v>
      </c>
      <c r="B189" s="7" t="s">
        <v>337</v>
      </c>
      <c r="C189" s="7" t="s">
        <v>935</v>
      </c>
      <c r="D189" s="7" t="s">
        <v>936</v>
      </c>
      <c r="E189" s="7" t="s">
        <v>79</v>
      </c>
      <c r="F189" s="7" t="s">
        <v>937</v>
      </c>
      <c r="G189" s="7" t="s">
        <v>938</v>
      </c>
      <c r="H189" s="6" t="n">
        <f aca="false">LEN(F189)</f>
        <v>9</v>
      </c>
      <c r="I189" s="6" t="n">
        <v>2</v>
      </c>
      <c r="J189" s="6" t="n">
        <v>2</v>
      </c>
      <c r="K189" s="7" t="s">
        <v>14</v>
      </c>
      <c r="L189" s="7" t="s">
        <v>939</v>
      </c>
      <c r="M189" s="7"/>
      <c r="N189" s="7" t="s">
        <v>342</v>
      </c>
      <c r="O189" s="7" t="s">
        <v>940</v>
      </c>
    </row>
    <row r="190" customFormat="false" ht="15" hidden="false" customHeight="false" outlineLevel="0" collapsed="false">
      <c r="A190" s="6" t="n">
        <v>163</v>
      </c>
      <c r="B190" s="7" t="s">
        <v>545</v>
      </c>
      <c r="C190" s="7" t="s">
        <v>698</v>
      </c>
      <c r="D190" s="7" t="s">
        <v>941</v>
      </c>
      <c r="E190" s="7" t="s">
        <v>79</v>
      </c>
      <c r="F190" s="7" t="s">
        <v>942</v>
      </c>
      <c r="G190" s="7"/>
      <c r="H190" s="6" t="n">
        <f aca="false">LEN(F190)</f>
        <v>8</v>
      </c>
      <c r="I190" s="6" t="n">
        <v>5</v>
      </c>
      <c r="J190" s="6" t="n">
        <v>2</v>
      </c>
      <c r="K190" s="8" t="s">
        <v>14</v>
      </c>
      <c r="L190" s="7" t="s">
        <v>943</v>
      </c>
      <c r="M190" s="7"/>
      <c r="N190" s="7" t="s">
        <v>944</v>
      </c>
      <c r="O190" s="7" t="s">
        <v>488</v>
      </c>
    </row>
    <row r="191" customFormat="false" ht="15" hidden="false" customHeight="false" outlineLevel="0" collapsed="false">
      <c r="A191" s="6" t="n">
        <v>164</v>
      </c>
      <c r="B191" s="7" t="s">
        <v>545</v>
      </c>
      <c r="C191" s="7" t="s">
        <v>698</v>
      </c>
      <c r="D191" s="7" t="s">
        <v>945</v>
      </c>
      <c r="E191" s="7" t="s">
        <v>79</v>
      </c>
      <c r="F191" s="7" t="s">
        <v>946</v>
      </c>
      <c r="G191" s="7"/>
      <c r="H191" s="6" t="n">
        <f aca="false">LEN(F191)</f>
        <v>7</v>
      </c>
      <c r="I191" s="6" t="n">
        <v>5</v>
      </c>
      <c r="J191" s="6" t="n">
        <v>2</v>
      </c>
      <c r="K191" s="8" t="s">
        <v>14</v>
      </c>
      <c r="L191" s="7" t="s">
        <v>943</v>
      </c>
      <c r="M191" s="7"/>
      <c r="N191" s="7" t="s">
        <v>944</v>
      </c>
      <c r="O191" s="7" t="s">
        <v>488</v>
      </c>
    </row>
    <row r="192" customFormat="false" ht="15" hidden="true" customHeight="false" outlineLevel="0" collapsed="false">
      <c r="A192" s="6" t="n">
        <v>188</v>
      </c>
      <c r="B192" s="7" t="s">
        <v>500</v>
      </c>
      <c r="C192" s="7" t="s">
        <v>758</v>
      </c>
      <c r="D192" s="7" t="s">
        <v>947</v>
      </c>
      <c r="E192" s="7" t="s">
        <v>79</v>
      </c>
      <c r="F192" s="7" t="s">
        <v>948</v>
      </c>
      <c r="G192" s="7"/>
      <c r="H192" s="6" t="n">
        <f aca="false">LEN(F192)</f>
        <v>20</v>
      </c>
      <c r="I192" s="6" t="n">
        <v>4</v>
      </c>
      <c r="J192" s="6" t="n">
        <v>2</v>
      </c>
      <c r="K192" s="7" t="s">
        <v>14</v>
      </c>
      <c r="L192" s="7" t="s">
        <v>911</v>
      </c>
      <c r="M192" s="7"/>
      <c r="N192" s="7" t="s">
        <v>506</v>
      </c>
      <c r="O192" s="7" t="s">
        <v>949</v>
      </c>
    </row>
    <row r="193" customFormat="false" ht="15" hidden="false" customHeight="false" outlineLevel="0" collapsed="false">
      <c r="A193" s="6" t="n">
        <v>189</v>
      </c>
      <c r="B193" s="7" t="s">
        <v>500</v>
      </c>
      <c r="C193" s="7" t="s">
        <v>950</v>
      </c>
      <c r="D193" s="7" t="s">
        <v>849</v>
      </c>
      <c r="E193" s="7" t="s">
        <v>79</v>
      </c>
      <c r="F193" s="7" t="s">
        <v>951</v>
      </c>
      <c r="G193" s="7"/>
      <c r="H193" s="6" t="n">
        <f aca="false">LEN(F193)</f>
        <v>15</v>
      </c>
      <c r="I193" s="6" t="n">
        <v>5</v>
      </c>
      <c r="J193" s="6" t="n">
        <v>2</v>
      </c>
      <c r="K193" s="8" t="s">
        <v>14</v>
      </c>
      <c r="L193" s="7" t="s">
        <v>952</v>
      </c>
      <c r="M193" s="7"/>
      <c r="N193" s="7" t="s">
        <v>506</v>
      </c>
      <c r="O193" s="7" t="s">
        <v>953</v>
      </c>
    </row>
    <row r="194" customFormat="false" ht="23.85" hidden="false" customHeight="false" outlineLevel="0" collapsed="false">
      <c r="A194" s="6" t="n">
        <v>191</v>
      </c>
      <c r="B194" s="7" t="s">
        <v>500</v>
      </c>
      <c r="C194" s="7" t="s">
        <v>954</v>
      </c>
      <c r="D194" s="7" t="s">
        <v>955</v>
      </c>
      <c r="E194" s="7" t="s">
        <v>79</v>
      </c>
      <c r="F194" s="7" t="s">
        <v>956</v>
      </c>
      <c r="G194" s="7"/>
      <c r="H194" s="6" t="n">
        <f aca="false">LEN(F194)</f>
        <v>26</v>
      </c>
      <c r="I194" s="6" t="n">
        <v>5</v>
      </c>
      <c r="J194" s="6" t="n">
        <v>2</v>
      </c>
      <c r="K194" s="8" t="s">
        <v>14</v>
      </c>
      <c r="L194" s="7" t="s">
        <v>957</v>
      </c>
      <c r="M194" s="7"/>
      <c r="N194" s="7" t="s">
        <v>506</v>
      </c>
      <c r="O194" s="7" t="s">
        <v>958</v>
      </c>
    </row>
    <row r="195" customFormat="false" ht="15" hidden="false" customHeight="false" outlineLevel="0" collapsed="false">
      <c r="A195" s="6" t="n">
        <v>199</v>
      </c>
      <c r="B195" s="7" t="s">
        <v>514</v>
      </c>
      <c r="C195" s="7" t="s">
        <v>866</v>
      </c>
      <c r="D195" s="7" t="s">
        <v>959</v>
      </c>
      <c r="E195" s="7" t="s">
        <v>79</v>
      </c>
      <c r="F195" s="7" t="s">
        <v>960</v>
      </c>
      <c r="G195" s="7"/>
      <c r="H195" s="6" t="n">
        <f aca="false">LEN(F195)</f>
        <v>14</v>
      </c>
      <c r="I195" s="6" t="n">
        <v>5</v>
      </c>
      <c r="J195" s="6" t="n">
        <v>2</v>
      </c>
      <c r="K195" s="8" t="s">
        <v>12</v>
      </c>
      <c r="L195" s="7" t="s">
        <v>856</v>
      </c>
      <c r="M195" s="7"/>
      <c r="N195" s="7" t="s">
        <v>519</v>
      </c>
      <c r="O195" s="7" t="s">
        <v>610</v>
      </c>
    </row>
    <row r="196" customFormat="false" ht="15" hidden="false" customHeight="false" outlineLevel="0" collapsed="false">
      <c r="A196" s="6" t="n">
        <v>205</v>
      </c>
      <c r="B196" s="7" t="s">
        <v>514</v>
      </c>
      <c r="C196" s="7" t="s">
        <v>520</v>
      </c>
      <c r="D196" s="7" t="s">
        <v>961</v>
      </c>
      <c r="E196" s="7" t="s">
        <v>79</v>
      </c>
      <c r="F196" s="7" t="s">
        <v>951</v>
      </c>
      <c r="G196" s="7"/>
      <c r="H196" s="6" t="n">
        <f aca="false">LEN(F196)</f>
        <v>15</v>
      </c>
      <c r="I196" s="6" t="n">
        <v>5</v>
      </c>
      <c r="J196" s="6" t="n">
        <v>2</v>
      </c>
      <c r="K196" s="8" t="s">
        <v>14</v>
      </c>
      <c r="L196" s="7" t="s">
        <v>952</v>
      </c>
      <c r="M196" s="7"/>
      <c r="N196" s="7" t="s">
        <v>519</v>
      </c>
      <c r="O196" s="7" t="s">
        <v>962</v>
      </c>
    </row>
    <row r="197" customFormat="false" ht="23.85" hidden="true" customHeight="false" outlineLevel="0" collapsed="false">
      <c r="A197" s="6" t="n">
        <v>28</v>
      </c>
      <c r="B197" s="7" t="s">
        <v>76</v>
      </c>
      <c r="C197" s="7" t="s">
        <v>577</v>
      </c>
      <c r="D197" s="7" t="s">
        <v>963</v>
      </c>
      <c r="E197" s="7" t="s">
        <v>79</v>
      </c>
      <c r="F197" s="7" t="s">
        <v>964</v>
      </c>
      <c r="G197" s="7"/>
      <c r="H197" s="6" t="n">
        <f aca="false">LEN(F197)</f>
        <v>13</v>
      </c>
      <c r="I197" s="6" t="n">
        <v>5</v>
      </c>
      <c r="J197" s="6" t="n">
        <v>1</v>
      </c>
      <c r="K197" s="7" t="s">
        <v>14</v>
      </c>
      <c r="L197" s="7" t="s">
        <v>911</v>
      </c>
      <c r="M197" s="7"/>
      <c r="N197" s="7" t="s">
        <v>90</v>
      </c>
      <c r="O197" s="7" t="s">
        <v>965</v>
      </c>
    </row>
    <row r="198" customFormat="false" ht="23.85" hidden="false" customHeight="false" outlineLevel="0" collapsed="false">
      <c r="A198" s="6" t="n">
        <v>29</v>
      </c>
      <c r="B198" s="7" t="s">
        <v>76</v>
      </c>
      <c r="C198" s="7" t="s">
        <v>577</v>
      </c>
      <c r="D198" s="7" t="s">
        <v>966</v>
      </c>
      <c r="E198" s="7" t="s">
        <v>97</v>
      </c>
      <c r="F198" s="7" t="s">
        <v>967</v>
      </c>
      <c r="G198" s="7"/>
      <c r="H198" s="6" t="n">
        <f aca="false">LEN(F198)</f>
        <v>15</v>
      </c>
      <c r="I198" s="6" t="n">
        <v>3</v>
      </c>
      <c r="J198" s="6" t="n">
        <v>1</v>
      </c>
      <c r="K198" s="8" t="s">
        <v>14</v>
      </c>
      <c r="L198" s="7" t="s">
        <v>968</v>
      </c>
      <c r="M198" s="7"/>
      <c r="N198" s="7" t="s">
        <v>342</v>
      </c>
      <c r="O198" s="7" t="s">
        <v>969</v>
      </c>
    </row>
    <row r="199" customFormat="false" ht="23.85" hidden="true" customHeight="false" outlineLevel="0" collapsed="false">
      <c r="A199" s="6" t="n">
        <v>31</v>
      </c>
      <c r="B199" s="7" t="s">
        <v>76</v>
      </c>
      <c r="C199" s="7" t="s">
        <v>970</v>
      </c>
      <c r="D199" s="7" t="s">
        <v>971</v>
      </c>
      <c r="E199" s="7" t="s">
        <v>79</v>
      </c>
      <c r="F199" s="7" t="s">
        <v>972</v>
      </c>
      <c r="G199" s="7"/>
      <c r="H199" s="6" t="n">
        <f aca="false">LEN(F199)</f>
        <v>5</v>
      </c>
      <c r="I199" s="6" t="n">
        <v>5</v>
      </c>
      <c r="J199" s="6" t="n">
        <v>1</v>
      </c>
      <c r="K199" s="7" t="s">
        <v>14</v>
      </c>
      <c r="L199" s="7" t="s">
        <v>973</v>
      </c>
      <c r="M199" s="7"/>
      <c r="N199" s="7" t="s">
        <v>90</v>
      </c>
      <c r="O199" s="7" t="s">
        <v>974</v>
      </c>
    </row>
    <row r="200" customFormat="false" ht="15" hidden="true" customHeight="false" outlineLevel="0" collapsed="false">
      <c r="A200" s="6" t="n">
        <v>53</v>
      </c>
      <c r="B200" s="7" t="s">
        <v>157</v>
      </c>
      <c r="C200" s="7" t="s">
        <v>975</v>
      </c>
      <c r="D200" s="7" t="s">
        <v>976</v>
      </c>
      <c r="E200" s="7" t="s">
        <v>79</v>
      </c>
      <c r="F200" s="7" t="s">
        <v>977</v>
      </c>
      <c r="G200" s="7"/>
      <c r="H200" s="6" t="n">
        <f aca="false">LEN(F200)</f>
        <v>20</v>
      </c>
      <c r="I200" s="6" t="n">
        <v>5</v>
      </c>
      <c r="J200" s="6" t="n">
        <v>1</v>
      </c>
      <c r="K200" s="7" t="s">
        <v>14</v>
      </c>
      <c r="L200" s="7" t="s">
        <v>973</v>
      </c>
      <c r="M200" s="7"/>
      <c r="N200" s="7" t="s">
        <v>164</v>
      </c>
      <c r="O200" s="7" t="s">
        <v>978</v>
      </c>
    </row>
    <row r="201" customFormat="false" ht="15" hidden="true" customHeight="false" outlineLevel="0" collapsed="false">
      <c r="A201" s="6" t="n">
        <v>54</v>
      </c>
      <c r="B201" s="7" t="s">
        <v>199</v>
      </c>
      <c r="C201" s="7" t="s">
        <v>975</v>
      </c>
      <c r="D201" s="7" t="s">
        <v>976</v>
      </c>
      <c r="E201" s="7" t="s">
        <v>79</v>
      </c>
      <c r="F201" s="7" t="s">
        <v>979</v>
      </c>
      <c r="G201" s="7"/>
      <c r="H201" s="6" t="n">
        <f aca="false">LEN(F201)</f>
        <v>19</v>
      </c>
      <c r="I201" s="6" t="n">
        <v>5</v>
      </c>
      <c r="J201" s="6" t="n">
        <v>1</v>
      </c>
      <c r="K201" s="7" t="s">
        <v>14</v>
      </c>
      <c r="L201" s="7" t="s">
        <v>973</v>
      </c>
      <c r="M201" s="7"/>
      <c r="N201" s="7" t="s">
        <v>164</v>
      </c>
      <c r="O201" s="7" t="s">
        <v>810</v>
      </c>
    </row>
    <row r="202" customFormat="false" ht="23.85" hidden="false" customHeight="false" outlineLevel="0" collapsed="false">
      <c r="A202" s="6" t="n">
        <v>65</v>
      </c>
      <c r="B202" s="7" t="s">
        <v>157</v>
      </c>
      <c r="C202" s="7" t="s">
        <v>183</v>
      </c>
      <c r="D202" s="7" t="s">
        <v>189</v>
      </c>
      <c r="E202" s="7" t="s">
        <v>97</v>
      </c>
      <c r="F202" s="7" t="s">
        <v>980</v>
      </c>
      <c r="G202" s="7"/>
      <c r="H202" s="6" t="n">
        <f aca="false">LEN(F202)</f>
        <v>20</v>
      </c>
      <c r="I202" s="6" t="n">
        <v>3</v>
      </c>
      <c r="J202" s="6" t="n">
        <v>1</v>
      </c>
      <c r="K202" s="8" t="s">
        <v>14</v>
      </c>
      <c r="L202" s="7" t="s">
        <v>981</v>
      </c>
      <c r="M202" s="7"/>
      <c r="N202" s="7" t="s">
        <v>193</v>
      </c>
      <c r="O202" s="7" t="s">
        <v>982</v>
      </c>
    </row>
    <row r="203" customFormat="false" ht="23.85" hidden="false" customHeight="false" outlineLevel="0" collapsed="false">
      <c r="A203" s="6" t="n">
        <v>83</v>
      </c>
      <c r="B203" s="7" t="s">
        <v>157</v>
      </c>
      <c r="C203" s="7" t="s">
        <v>983</v>
      </c>
      <c r="D203" s="7" t="s">
        <v>984</v>
      </c>
      <c r="E203" s="7" t="s">
        <v>583</v>
      </c>
      <c r="F203" s="7" t="s">
        <v>985</v>
      </c>
      <c r="G203" s="7" t="s">
        <v>986</v>
      </c>
      <c r="H203" s="6" t="n">
        <f aca="false">LEN(F203)</f>
        <v>17</v>
      </c>
      <c r="I203" s="6" t="n">
        <v>5</v>
      </c>
      <c r="J203" s="6" t="n">
        <v>1</v>
      </c>
      <c r="K203" s="8" t="s">
        <v>14</v>
      </c>
      <c r="L203" s="7" t="s">
        <v>987</v>
      </c>
      <c r="M203" s="7"/>
      <c r="N203" s="7" t="s">
        <v>988</v>
      </c>
      <c r="O203" s="7" t="s">
        <v>989</v>
      </c>
    </row>
    <row r="204" customFormat="false" ht="23.85" hidden="false" customHeight="false" outlineLevel="0" collapsed="false">
      <c r="A204" s="6" t="n">
        <v>84</v>
      </c>
      <c r="B204" s="7" t="s">
        <v>492</v>
      </c>
      <c r="C204" s="7" t="s">
        <v>990</v>
      </c>
      <c r="D204" s="7" t="s">
        <v>991</v>
      </c>
      <c r="E204" s="7" t="s">
        <v>583</v>
      </c>
      <c r="F204" s="7" t="s">
        <v>827</v>
      </c>
      <c r="G204" s="7"/>
      <c r="H204" s="6" t="n">
        <f aca="false">LEN(F204)</f>
        <v>13</v>
      </c>
      <c r="I204" s="6" t="n">
        <v>5</v>
      </c>
      <c r="J204" s="6" t="n">
        <v>1</v>
      </c>
      <c r="K204" s="8" t="s">
        <v>14</v>
      </c>
      <c r="L204" s="7" t="s">
        <v>992</v>
      </c>
      <c r="M204" s="7"/>
      <c r="N204" s="7" t="s">
        <v>988</v>
      </c>
      <c r="O204" s="7" t="s">
        <v>993</v>
      </c>
    </row>
    <row r="205" customFormat="false" ht="23.85" hidden="false" customHeight="false" outlineLevel="0" collapsed="false">
      <c r="A205" s="6" t="n">
        <v>85</v>
      </c>
      <c r="B205" s="7" t="s">
        <v>545</v>
      </c>
      <c r="C205" s="7" t="s">
        <v>545</v>
      </c>
      <c r="D205" s="7" t="s">
        <v>994</v>
      </c>
      <c r="E205" s="7" t="s">
        <v>583</v>
      </c>
      <c r="F205" s="7" t="s">
        <v>995</v>
      </c>
      <c r="G205" s="7"/>
      <c r="H205" s="6" t="n">
        <f aca="false">LEN(F205)</f>
        <v>17</v>
      </c>
      <c r="I205" s="6" t="n">
        <v>5</v>
      </c>
      <c r="J205" s="6" t="n">
        <v>1</v>
      </c>
      <c r="K205" s="8" t="s">
        <v>14</v>
      </c>
      <c r="L205" s="7" t="s">
        <v>996</v>
      </c>
      <c r="M205" s="7"/>
      <c r="N205" s="7" t="s">
        <v>988</v>
      </c>
      <c r="O205" s="7" t="s">
        <v>997</v>
      </c>
    </row>
    <row r="206" customFormat="false" ht="23.85" hidden="false" customHeight="false" outlineLevel="0" collapsed="false">
      <c r="A206" s="6" t="n">
        <v>88</v>
      </c>
      <c r="B206" s="7" t="s">
        <v>337</v>
      </c>
      <c r="C206" s="7" t="s">
        <v>998</v>
      </c>
      <c r="D206" s="7" t="s">
        <v>999</v>
      </c>
      <c r="E206" s="7" t="s">
        <v>583</v>
      </c>
      <c r="F206" s="7" t="s">
        <v>1000</v>
      </c>
      <c r="G206" s="7"/>
      <c r="H206" s="6" t="n">
        <f aca="false">LEN(F206)</f>
        <v>40</v>
      </c>
      <c r="I206" s="6" t="n">
        <v>5</v>
      </c>
      <c r="J206" s="6" t="n">
        <v>1</v>
      </c>
      <c r="K206" s="8" t="s">
        <v>14</v>
      </c>
      <c r="L206" s="7" t="s">
        <v>1001</v>
      </c>
      <c r="M206" s="7"/>
      <c r="N206" s="7" t="s">
        <v>342</v>
      </c>
      <c r="O206" s="7" t="s">
        <v>1002</v>
      </c>
    </row>
    <row r="207" customFormat="false" ht="15" hidden="true" customHeight="false" outlineLevel="0" collapsed="false">
      <c r="A207" s="6" t="n">
        <v>109</v>
      </c>
      <c r="B207" s="7" t="s">
        <v>324</v>
      </c>
      <c r="C207" s="7" t="s">
        <v>332</v>
      </c>
      <c r="D207" s="7" t="s">
        <v>582</v>
      </c>
      <c r="E207" s="7" t="s">
        <v>79</v>
      </c>
      <c r="F207" s="7" t="s">
        <v>1003</v>
      </c>
      <c r="G207" s="7"/>
      <c r="H207" s="6" t="n">
        <f aca="false">LEN(F207)</f>
        <v>21</v>
      </c>
      <c r="I207" s="6" t="n">
        <v>5</v>
      </c>
      <c r="J207" s="6" t="n">
        <v>1</v>
      </c>
      <c r="K207" s="7" t="s">
        <v>14</v>
      </c>
      <c r="L207" s="7" t="s">
        <v>973</v>
      </c>
      <c r="M207" s="7"/>
      <c r="N207" s="7" t="s">
        <v>330</v>
      </c>
      <c r="O207" s="7" t="s">
        <v>1004</v>
      </c>
    </row>
    <row r="208" customFormat="false" ht="23.85" hidden="false" customHeight="false" outlineLevel="0" collapsed="false">
      <c r="A208" s="6" t="n">
        <v>111</v>
      </c>
      <c r="B208" s="7" t="s">
        <v>324</v>
      </c>
      <c r="C208" s="7" t="s">
        <v>332</v>
      </c>
      <c r="D208" s="7" t="s">
        <v>1005</v>
      </c>
      <c r="E208" s="7" t="s">
        <v>79</v>
      </c>
      <c r="F208" s="7" t="s">
        <v>1006</v>
      </c>
      <c r="G208" s="7"/>
      <c r="H208" s="6" t="n">
        <f aca="false">LEN(F208)</f>
        <v>19</v>
      </c>
      <c r="I208" s="6" t="n">
        <v>5</v>
      </c>
      <c r="J208" s="6" t="n">
        <v>1</v>
      </c>
      <c r="K208" s="8" t="s">
        <v>14</v>
      </c>
      <c r="L208" s="7" t="s">
        <v>1007</v>
      </c>
      <c r="M208" s="7" t="s">
        <v>1008</v>
      </c>
      <c r="N208" s="7" t="s">
        <v>330</v>
      </c>
      <c r="O208" s="7" t="s">
        <v>1009</v>
      </c>
    </row>
    <row r="209" customFormat="false" ht="23.85" hidden="true" customHeight="false" outlineLevel="0" collapsed="false">
      <c r="A209" s="6" t="n">
        <v>131</v>
      </c>
      <c r="B209" s="7" t="s">
        <v>337</v>
      </c>
      <c r="C209" s="7" t="s">
        <v>347</v>
      </c>
      <c r="D209" s="7" t="s">
        <v>1010</v>
      </c>
      <c r="E209" s="7" t="s">
        <v>79</v>
      </c>
      <c r="F209" s="7" t="s">
        <v>1011</v>
      </c>
      <c r="G209" s="7"/>
      <c r="H209" s="6" t="n">
        <f aca="false">LEN(F209)</f>
        <v>17</v>
      </c>
      <c r="I209" s="6" t="n">
        <v>4</v>
      </c>
      <c r="J209" s="6" t="n">
        <v>1</v>
      </c>
      <c r="K209" s="7" t="s">
        <v>14</v>
      </c>
      <c r="L209" s="7" t="s">
        <v>1012</v>
      </c>
      <c r="M209" s="7"/>
      <c r="N209" s="7" t="s">
        <v>342</v>
      </c>
      <c r="O209" s="7" t="s">
        <v>357</v>
      </c>
    </row>
    <row r="210" customFormat="false" ht="23.85" hidden="false" customHeight="false" outlineLevel="0" collapsed="false">
      <c r="A210" s="6" t="n">
        <v>155</v>
      </c>
      <c r="B210" s="7" t="s">
        <v>337</v>
      </c>
      <c r="C210" s="7" t="s">
        <v>389</v>
      </c>
      <c r="D210" s="7" t="s">
        <v>1013</v>
      </c>
      <c r="E210" s="7" t="s">
        <v>97</v>
      </c>
      <c r="F210" s="7" t="s">
        <v>1014</v>
      </c>
      <c r="G210" s="7"/>
      <c r="H210" s="6" t="n">
        <f aca="false">LEN(F210)</f>
        <v>21</v>
      </c>
      <c r="I210" s="6" t="n">
        <v>2</v>
      </c>
      <c r="J210" s="6" t="n">
        <v>1</v>
      </c>
      <c r="K210" s="8" t="s">
        <v>14</v>
      </c>
      <c r="L210" s="7" t="s">
        <v>1015</v>
      </c>
      <c r="M210" s="7"/>
      <c r="N210" s="7" t="s">
        <v>342</v>
      </c>
      <c r="O210" s="7" t="s">
        <v>1016</v>
      </c>
    </row>
    <row r="211" customFormat="false" ht="23.85" hidden="false" customHeight="false" outlineLevel="0" collapsed="false">
      <c r="A211" s="6" t="n">
        <v>158</v>
      </c>
      <c r="B211" s="7" t="s">
        <v>337</v>
      </c>
      <c r="C211" s="7" t="s">
        <v>453</v>
      </c>
      <c r="D211" s="7" t="s">
        <v>454</v>
      </c>
      <c r="E211" s="7" t="s">
        <v>97</v>
      </c>
      <c r="F211" s="7" t="s">
        <v>1017</v>
      </c>
      <c r="G211" s="7"/>
      <c r="H211" s="6" t="n">
        <f aca="false">LEN(F211)</f>
        <v>16</v>
      </c>
      <c r="I211" s="6" t="n">
        <v>5</v>
      </c>
      <c r="J211" s="6" t="n">
        <v>1</v>
      </c>
      <c r="K211" s="8" t="s">
        <v>14</v>
      </c>
      <c r="L211" s="7" t="s">
        <v>1018</v>
      </c>
      <c r="M211" s="7"/>
      <c r="N211" s="7" t="s">
        <v>441</v>
      </c>
      <c r="O211" s="7" t="s">
        <v>1019</v>
      </c>
    </row>
    <row r="212" customFormat="false" ht="15" hidden="true" customHeight="false" outlineLevel="0" collapsed="false">
      <c r="A212" s="6" t="n">
        <v>161</v>
      </c>
      <c r="B212" s="7" t="s">
        <v>545</v>
      </c>
      <c r="C212" s="7" t="s">
        <v>698</v>
      </c>
      <c r="D212" s="7" t="s">
        <v>582</v>
      </c>
      <c r="E212" s="7" t="s">
        <v>79</v>
      </c>
      <c r="F212" s="7" t="s">
        <v>1020</v>
      </c>
      <c r="G212" s="7"/>
      <c r="H212" s="6" t="n">
        <f aca="false">LEN(F212)</f>
        <v>20</v>
      </c>
      <c r="I212" s="6" t="n">
        <v>5</v>
      </c>
      <c r="J212" s="6" t="n">
        <v>1</v>
      </c>
      <c r="K212" s="7" t="s">
        <v>14</v>
      </c>
      <c r="L212" s="7" t="s">
        <v>973</v>
      </c>
      <c r="M212" s="7"/>
      <c r="N212" s="7" t="s">
        <v>703</v>
      </c>
      <c r="O212" s="7" t="s">
        <v>538</v>
      </c>
    </row>
    <row r="213" customFormat="false" ht="15" hidden="true" customHeight="false" outlineLevel="0" collapsed="false">
      <c r="A213" s="6" t="n">
        <v>165</v>
      </c>
      <c r="B213" s="7" t="s">
        <v>460</v>
      </c>
      <c r="C213" s="7" t="s">
        <v>975</v>
      </c>
      <c r="D213" s="7" t="s">
        <v>976</v>
      </c>
      <c r="E213" s="7" t="s">
        <v>79</v>
      </c>
      <c r="F213" s="7" t="s">
        <v>972</v>
      </c>
      <c r="G213" s="7"/>
      <c r="H213" s="6" t="n">
        <f aca="false">LEN(F213)</f>
        <v>5</v>
      </c>
      <c r="I213" s="6" t="n">
        <v>5</v>
      </c>
      <c r="J213" s="6" t="n">
        <v>1</v>
      </c>
      <c r="K213" s="7" t="s">
        <v>14</v>
      </c>
      <c r="L213" s="7" t="s">
        <v>973</v>
      </c>
      <c r="M213" s="7"/>
      <c r="N213" s="7" t="s">
        <v>466</v>
      </c>
      <c r="O213" s="7" t="s">
        <v>1021</v>
      </c>
    </row>
    <row r="214" customFormat="false" ht="15" hidden="true" customHeight="false" outlineLevel="0" collapsed="false">
      <c r="A214" s="6" t="n">
        <v>181</v>
      </c>
      <c r="B214" s="7" t="s">
        <v>492</v>
      </c>
      <c r="C214" s="7" t="s">
        <v>990</v>
      </c>
      <c r="D214" s="7" t="s">
        <v>582</v>
      </c>
      <c r="E214" s="7" t="s">
        <v>79</v>
      </c>
      <c r="F214" s="7" t="s">
        <v>1022</v>
      </c>
      <c r="G214" s="7"/>
      <c r="H214" s="6" t="n">
        <f aca="false">LEN(F214)</f>
        <v>20</v>
      </c>
      <c r="I214" s="6" t="n">
        <v>5</v>
      </c>
      <c r="J214" s="6" t="n">
        <v>1</v>
      </c>
      <c r="K214" s="7" t="s">
        <v>14</v>
      </c>
      <c r="L214" s="7" t="s">
        <v>973</v>
      </c>
      <c r="M214" s="7"/>
      <c r="N214" s="7" t="s">
        <v>498</v>
      </c>
      <c r="O214" s="7" t="s">
        <v>804</v>
      </c>
    </row>
    <row r="215" customFormat="false" ht="15" hidden="true" customHeight="false" outlineLevel="0" collapsed="false">
      <c r="A215" s="6" t="n">
        <v>183</v>
      </c>
      <c r="B215" s="7" t="s">
        <v>784</v>
      </c>
      <c r="C215" s="7" t="s">
        <v>1023</v>
      </c>
      <c r="D215" s="7" t="s">
        <v>582</v>
      </c>
      <c r="E215" s="7" t="s">
        <v>79</v>
      </c>
      <c r="F215" s="7" t="s">
        <v>1024</v>
      </c>
      <c r="G215" s="7"/>
      <c r="H215" s="6" t="n">
        <f aca="false">LEN(F215)</f>
        <v>22</v>
      </c>
      <c r="I215" s="6" t="n">
        <v>5</v>
      </c>
      <c r="J215" s="6" t="n">
        <v>1</v>
      </c>
      <c r="K215" s="7" t="s">
        <v>14</v>
      </c>
      <c r="L215" s="7" t="s">
        <v>973</v>
      </c>
      <c r="M215" s="7"/>
      <c r="N215" s="7" t="s">
        <v>1025</v>
      </c>
      <c r="O215" s="7" t="s">
        <v>801</v>
      </c>
    </row>
    <row r="216" customFormat="false" ht="15" hidden="true" customHeight="false" outlineLevel="0" collapsed="false">
      <c r="A216" s="6" t="n">
        <v>184</v>
      </c>
      <c r="B216" s="7" t="s">
        <v>500</v>
      </c>
      <c r="C216" s="7" t="s">
        <v>975</v>
      </c>
      <c r="D216" s="7" t="s">
        <v>976</v>
      </c>
      <c r="E216" s="7" t="s">
        <v>79</v>
      </c>
      <c r="F216" s="7" t="s">
        <v>1026</v>
      </c>
      <c r="G216" s="7"/>
      <c r="H216" s="6" t="n">
        <f aca="false">LEN(F216)</f>
        <v>21</v>
      </c>
      <c r="I216" s="6" t="n">
        <v>5</v>
      </c>
      <c r="J216" s="6" t="n">
        <v>1</v>
      </c>
      <c r="K216" s="7" t="s">
        <v>14</v>
      </c>
      <c r="L216" s="7" t="s">
        <v>973</v>
      </c>
      <c r="M216" s="7"/>
      <c r="N216" s="7" t="s">
        <v>506</v>
      </c>
      <c r="O216" s="7" t="s">
        <v>1027</v>
      </c>
    </row>
    <row r="217" customFormat="false" ht="15" hidden="true" customHeight="false" outlineLevel="0" collapsed="false">
      <c r="A217" s="6" t="n">
        <v>194</v>
      </c>
      <c r="B217" s="7" t="s">
        <v>514</v>
      </c>
      <c r="C217" s="7" t="s">
        <v>975</v>
      </c>
      <c r="D217" s="7" t="s">
        <v>976</v>
      </c>
      <c r="E217" s="7" t="s">
        <v>79</v>
      </c>
      <c r="F217" s="7" t="s">
        <v>1028</v>
      </c>
      <c r="G217" s="7"/>
      <c r="H217" s="6" t="n">
        <f aca="false">LEN(F217)</f>
        <v>18</v>
      </c>
      <c r="I217" s="6" t="n">
        <v>5</v>
      </c>
      <c r="J217" s="6" t="n">
        <v>1</v>
      </c>
      <c r="K217" s="7" t="s">
        <v>14</v>
      </c>
      <c r="L217" s="7" t="s">
        <v>973</v>
      </c>
      <c r="M217" s="7"/>
      <c r="N217" s="7" t="s">
        <v>519</v>
      </c>
      <c r="O217" s="7" t="s">
        <v>416</v>
      </c>
    </row>
  </sheetData>
  <autoFilter ref="A1:O217">
    <filterColumn colId="10">
      <filters>
        <filter val="Check"/>
        <filter val="Keep"/>
        <filter val="Never shows"/>
        <filter val="Reword"/>
      </filters>
    </filterColumn>
  </autoFilter>
  <conditionalFormatting sqref="I2:I217">
    <cfRule type="cellIs" priority="2" operator="lessThanOrEqual" aboveAverage="0" equalAverage="0" bottom="0" percent="0" rank="0" text="" dxfId="6">
      <formula>2</formula>
    </cfRule>
    <cfRule type="cellIs" priority="3" operator="equal" aboveAverage="0" equalAverage="0" bottom="0" percent="0" rank="0" text="" dxfId="7">
      <formula>3</formula>
    </cfRule>
    <cfRule type="cellIs" priority="4" operator="greaterThanOrEqual" aboveAverage="0" equalAverage="0" bottom="0" percent="0" rank="0" text="" dxfId="8">
      <formula>4</formula>
    </cfRule>
  </conditionalFormatting>
  <conditionalFormatting sqref="J2:J217">
    <cfRule type="cellIs" priority="5" operator="lessThanOrEqual" aboveAverage="0" equalAverage="0" bottom="0" percent="0" rank="0" text="" dxfId="6">
      <formula>2</formula>
    </cfRule>
    <cfRule type="cellIs" priority="6" operator="equal" aboveAverage="0" equalAverage="0" bottom="0" percent="0" rank="0" text="" dxfId="7">
      <formula>3</formula>
    </cfRule>
    <cfRule type="cellIs" priority="7" operator="greaterThanOrEqual" aboveAverage="0" equalAverage="0" bottom="0" percent="0" rank="0" text="" dxfId="8">
      <formula>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40"/>
    <col collapsed="false" customWidth="true" hidden="false" outlineLevel="0" max="4" min="4" style="1" width="80"/>
    <col collapsed="false" customWidth="true" hidden="false" outlineLevel="0" max="5" min="5" style="1" width="30"/>
    <col collapsed="false" customWidth="true" hidden="false" outlineLevel="0" max="6" min="6" style="1" width="12"/>
  </cols>
  <sheetData>
    <row r="1" customFormat="false" ht="30" hidden="false" customHeight="true" outlineLevel="0" collapsed="false">
      <c r="A1" s="5" t="s">
        <v>69</v>
      </c>
      <c r="B1" s="5" t="s">
        <v>71</v>
      </c>
      <c r="C1" s="5" t="s">
        <v>72</v>
      </c>
      <c r="D1" s="5" t="s">
        <v>51</v>
      </c>
      <c r="E1" s="5" t="s">
        <v>75</v>
      </c>
      <c r="F1" s="5" t="s">
        <v>59</v>
      </c>
    </row>
    <row r="2" customFormat="false" ht="15" hidden="false" customHeight="false" outlineLevel="0" collapsed="false">
      <c r="A2" s="6" t="n">
        <v>1</v>
      </c>
      <c r="B2" s="7" t="s">
        <v>1029</v>
      </c>
      <c r="C2" s="7" t="s">
        <v>1030</v>
      </c>
      <c r="D2" s="7" t="s">
        <v>1031</v>
      </c>
      <c r="E2" s="7" t="s">
        <v>519</v>
      </c>
      <c r="F2" s="7" t="s">
        <v>1032</v>
      </c>
    </row>
    <row r="3" customFormat="false" ht="15" hidden="false" customHeight="false" outlineLevel="0" collapsed="false">
      <c r="A3" s="6" t="n">
        <v>2</v>
      </c>
      <c r="B3" s="7" t="s">
        <v>1033</v>
      </c>
      <c r="C3" s="7" t="s">
        <v>1034</v>
      </c>
      <c r="D3" s="7" t="s">
        <v>1035</v>
      </c>
      <c r="E3" s="7" t="s">
        <v>519</v>
      </c>
      <c r="F3" s="7" t="s">
        <v>681</v>
      </c>
    </row>
    <row r="4" customFormat="false" ht="15" hidden="false" customHeight="false" outlineLevel="0" collapsed="false">
      <c r="A4" s="6" t="n">
        <v>3</v>
      </c>
      <c r="B4" s="7" t="s">
        <v>1033</v>
      </c>
      <c r="C4" s="7" t="s">
        <v>1036</v>
      </c>
      <c r="D4" s="7" t="s">
        <v>1037</v>
      </c>
      <c r="E4" s="7" t="s">
        <v>519</v>
      </c>
      <c r="F4" s="7" t="s">
        <v>1038</v>
      </c>
    </row>
    <row r="5" customFormat="false" ht="15" hidden="false" customHeight="false" outlineLevel="0" collapsed="false">
      <c r="A5" s="6" t="n">
        <v>4</v>
      </c>
      <c r="B5" s="7" t="s">
        <v>1033</v>
      </c>
      <c r="C5" s="7" t="s">
        <v>1039</v>
      </c>
      <c r="D5" s="7" t="s">
        <v>1040</v>
      </c>
      <c r="E5" s="7" t="s">
        <v>519</v>
      </c>
      <c r="F5" s="7" t="s">
        <v>982</v>
      </c>
    </row>
    <row r="6" customFormat="false" ht="15" hidden="false" customHeight="false" outlineLevel="0" collapsed="false">
      <c r="A6" s="6" t="n">
        <v>5</v>
      </c>
      <c r="B6" s="7" t="s">
        <v>1033</v>
      </c>
      <c r="C6" s="7" t="s">
        <v>1041</v>
      </c>
      <c r="D6" s="7" t="s">
        <v>1042</v>
      </c>
      <c r="E6" s="7" t="s">
        <v>519</v>
      </c>
      <c r="F6" s="7" t="s">
        <v>1043</v>
      </c>
    </row>
    <row r="7" customFormat="false" ht="23.85" hidden="false" customHeight="false" outlineLevel="0" collapsed="false">
      <c r="A7" s="6" t="n">
        <v>6</v>
      </c>
      <c r="B7" s="7" t="s">
        <v>1033</v>
      </c>
      <c r="C7" s="7" t="s">
        <v>1044</v>
      </c>
      <c r="D7" s="7" t="s">
        <v>1045</v>
      </c>
      <c r="E7" s="7" t="s">
        <v>519</v>
      </c>
      <c r="F7" s="7" t="s">
        <v>1046</v>
      </c>
    </row>
    <row r="8" customFormat="false" ht="23.85" hidden="false" customHeight="false" outlineLevel="0" collapsed="false">
      <c r="A8" s="6" t="n">
        <v>7</v>
      </c>
      <c r="B8" s="7" t="s">
        <v>1033</v>
      </c>
      <c r="C8" s="7" t="s">
        <v>1047</v>
      </c>
      <c r="D8" s="7" t="s">
        <v>1048</v>
      </c>
      <c r="E8" s="7" t="s">
        <v>519</v>
      </c>
      <c r="F8" s="7" t="s">
        <v>1049</v>
      </c>
    </row>
    <row r="9" customFormat="false" ht="15" hidden="false" customHeight="false" outlineLevel="0" collapsed="false">
      <c r="A9" s="6" t="n">
        <v>8</v>
      </c>
      <c r="B9" s="7" t="s">
        <v>1033</v>
      </c>
      <c r="C9" s="7" t="s">
        <v>1050</v>
      </c>
      <c r="D9" s="7" t="s">
        <v>1051</v>
      </c>
      <c r="E9" s="7" t="s">
        <v>519</v>
      </c>
      <c r="F9" s="7" t="s">
        <v>1052</v>
      </c>
    </row>
    <row r="10" customFormat="false" ht="15" hidden="false" customHeight="false" outlineLevel="0" collapsed="false">
      <c r="A10" s="6" t="n">
        <v>9</v>
      </c>
      <c r="B10" s="7" t="s">
        <v>1033</v>
      </c>
      <c r="C10" s="7" t="s">
        <v>1053</v>
      </c>
      <c r="D10" s="7" t="s">
        <v>1054</v>
      </c>
      <c r="E10" s="7" t="s">
        <v>519</v>
      </c>
      <c r="F10" s="7" t="s">
        <v>194</v>
      </c>
    </row>
    <row r="11" customFormat="false" ht="15" hidden="false" customHeight="false" outlineLevel="0" collapsed="false">
      <c r="A11" s="6" t="n">
        <v>10</v>
      </c>
      <c r="B11" s="7" t="s">
        <v>1033</v>
      </c>
      <c r="C11" s="7" t="s">
        <v>1055</v>
      </c>
      <c r="D11" s="7" t="s">
        <v>1056</v>
      </c>
      <c r="E11" s="7" t="s">
        <v>519</v>
      </c>
      <c r="F11" s="7" t="s">
        <v>1057</v>
      </c>
    </row>
    <row r="12" customFormat="false" ht="15" hidden="false" customHeight="false" outlineLevel="0" collapsed="false">
      <c r="A12" s="6" t="n">
        <v>11</v>
      </c>
      <c r="B12" s="7" t="s">
        <v>1033</v>
      </c>
      <c r="C12" s="7" t="s">
        <v>1058</v>
      </c>
      <c r="D12" s="7" t="s">
        <v>1059</v>
      </c>
      <c r="E12" s="7" t="s">
        <v>519</v>
      </c>
      <c r="F12" s="7" t="s">
        <v>1060</v>
      </c>
    </row>
    <row r="13" customFormat="false" ht="15" hidden="false" customHeight="false" outlineLevel="0" collapsed="false">
      <c r="A13" s="6" t="n">
        <v>12</v>
      </c>
      <c r="B13" s="7" t="s">
        <v>1033</v>
      </c>
      <c r="C13" s="7" t="s">
        <v>1061</v>
      </c>
      <c r="D13" s="7" t="s">
        <v>883</v>
      </c>
      <c r="E13" s="7" t="s">
        <v>519</v>
      </c>
      <c r="F13" s="7" t="s">
        <v>1062</v>
      </c>
    </row>
    <row r="14" customFormat="false" ht="15" hidden="false" customHeight="false" outlineLevel="0" collapsed="false">
      <c r="A14" s="6" t="n">
        <v>13</v>
      </c>
      <c r="B14" s="7" t="s">
        <v>1063</v>
      </c>
      <c r="C14" s="7" t="s">
        <v>1064</v>
      </c>
      <c r="D14" s="7" t="s">
        <v>1065</v>
      </c>
      <c r="E14" s="7" t="s">
        <v>519</v>
      </c>
      <c r="F14" s="7" t="s">
        <v>145</v>
      </c>
    </row>
    <row r="15" customFormat="false" ht="15" hidden="false" customHeight="false" outlineLevel="0" collapsed="false">
      <c r="A15" s="6" t="n">
        <v>14</v>
      </c>
      <c r="B15" s="7" t="s">
        <v>1063</v>
      </c>
      <c r="C15" s="7" t="s">
        <v>1066</v>
      </c>
      <c r="D15" s="7" t="s">
        <v>1067</v>
      </c>
      <c r="E15" s="7" t="s">
        <v>519</v>
      </c>
      <c r="F15" s="7" t="s">
        <v>704</v>
      </c>
    </row>
    <row r="16" customFormat="false" ht="15" hidden="false" customHeight="false" outlineLevel="0" collapsed="false">
      <c r="A16" s="6" t="n">
        <v>15</v>
      </c>
      <c r="B16" s="7" t="s">
        <v>1063</v>
      </c>
      <c r="C16" s="7" t="s">
        <v>1061</v>
      </c>
      <c r="D16" s="7" t="s">
        <v>1068</v>
      </c>
      <c r="E16" s="7" t="s">
        <v>519</v>
      </c>
      <c r="F16" s="7" t="s">
        <v>1069</v>
      </c>
    </row>
    <row r="17" customFormat="false" ht="15" hidden="false" customHeight="false" outlineLevel="0" collapsed="false">
      <c r="A17" s="6" t="n">
        <v>16</v>
      </c>
      <c r="B17" s="7" t="s">
        <v>1070</v>
      </c>
      <c r="C17" s="7" t="s">
        <v>1071</v>
      </c>
      <c r="D17" s="7" t="s">
        <v>1072</v>
      </c>
      <c r="E17" s="7" t="s">
        <v>1073</v>
      </c>
      <c r="F17" s="7" t="s">
        <v>989</v>
      </c>
    </row>
    <row r="18" customFormat="false" ht="15" hidden="false" customHeight="false" outlineLevel="0" collapsed="false">
      <c r="A18" s="6" t="n">
        <v>17</v>
      </c>
      <c r="B18" s="7" t="s">
        <v>1070</v>
      </c>
      <c r="C18" s="7" t="s">
        <v>1074</v>
      </c>
      <c r="D18" s="7" t="s">
        <v>1075</v>
      </c>
      <c r="E18" s="7" t="s">
        <v>1073</v>
      </c>
      <c r="F18" s="7" t="s">
        <v>411</v>
      </c>
    </row>
    <row r="19" customFormat="false" ht="23.85" hidden="false" customHeight="false" outlineLevel="0" collapsed="false">
      <c r="A19" s="6" t="n">
        <v>18</v>
      </c>
      <c r="B19" s="7" t="s">
        <v>1070</v>
      </c>
      <c r="C19" s="7" t="s">
        <v>1076</v>
      </c>
      <c r="D19" s="7" t="s">
        <v>883</v>
      </c>
      <c r="E19" s="7" t="s">
        <v>1073</v>
      </c>
      <c r="F19" s="7" t="s">
        <v>1077</v>
      </c>
    </row>
    <row r="20" customFormat="false" ht="15" hidden="false" customHeight="false" outlineLevel="0" collapsed="false">
      <c r="A20" s="6" t="n">
        <v>19</v>
      </c>
      <c r="B20" s="7" t="s">
        <v>1070</v>
      </c>
      <c r="C20" s="7" t="s">
        <v>1078</v>
      </c>
      <c r="D20" s="7" t="s">
        <v>195</v>
      </c>
      <c r="E20" s="7" t="s">
        <v>1073</v>
      </c>
      <c r="F20" s="7" t="s">
        <v>1079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90"/>
    <col collapsed="false" customWidth="true" hidden="false" outlineLevel="0" max="3" min="3" style="1" width="70"/>
  </cols>
  <sheetData>
    <row r="1" customFormat="false" ht="30" hidden="false" customHeight="true" outlineLevel="0" collapsed="false">
      <c r="A1" s="5" t="s">
        <v>1080</v>
      </c>
      <c r="B1" s="5" t="s">
        <v>71</v>
      </c>
      <c r="C1" s="5" t="s">
        <v>1081</v>
      </c>
    </row>
    <row r="2" customFormat="false" ht="35.05" hidden="false" customHeight="false" outlineLevel="0" collapsed="false">
      <c r="A2" s="9" t="s">
        <v>1082</v>
      </c>
      <c r="B2" s="7" t="s">
        <v>1083</v>
      </c>
      <c r="C2" s="7" t="s">
        <v>1084</v>
      </c>
    </row>
    <row r="3" customFormat="false" ht="23.85" hidden="false" customHeight="false" outlineLevel="0" collapsed="false">
      <c r="A3" s="9" t="s">
        <v>1085</v>
      </c>
      <c r="B3" s="7" t="s">
        <v>1086</v>
      </c>
      <c r="C3" s="7" t="s">
        <v>1087</v>
      </c>
    </row>
    <row r="4" customFormat="false" ht="46.25" hidden="false" customHeight="false" outlineLevel="0" collapsed="false">
      <c r="A4" s="9" t="s">
        <v>1088</v>
      </c>
      <c r="B4" s="7" t="s">
        <v>1089</v>
      </c>
      <c r="C4" s="7" t="s">
        <v>1090</v>
      </c>
    </row>
    <row r="5" customFormat="false" ht="35.05" hidden="false" customHeight="false" outlineLevel="0" collapsed="false">
      <c r="A5" s="9" t="s">
        <v>1091</v>
      </c>
      <c r="B5" s="7" t="s">
        <v>1092</v>
      </c>
      <c r="C5" s="7" t="s">
        <v>1093</v>
      </c>
    </row>
    <row r="6" customFormat="false" ht="35.05" hidden="false" customHeight="false" outlineLevel="0" collapsed="false">
      <c r="A6" s="9" t="s">
        <v>1094</v>
      </c>
      <c r="B6" s="7" t="s">
        <v>1095</v>
      </c>
      <c r="C6" s="7" t="s">
        <v>1096</v>
      </c>
    </row>
    <row r="7" customFormat="false" ht="23.85" hidden="false" customHeight="false" outlineLevel="0" collapsed="false">
      <c r="A7" s="9" t="s">
        <v>1097</v>
      </c>
      <c r="B7" s="7" t="s">
        <v>1098</v>
      </c>
      <c r="C7" s="7" t="s">
        <v>1099</v>
      </c>
    </row>
    <row r="8" customFormat="false" ht="35.05" hidden="false" customHeight="false" outlineLevel="0" collapsed="false">
      <c r="A8" s="9" t="s">
        <v>1100</v>
      </c>
      <c r="B8" s="7" t="s">
        <v>1101</v>
      </c>
      <c r="C8" s="7" t="s">
        <v>1102</v>
      </c>
    </row>
    <row r="9" customFormat="false" ht="35.05" hidden="false" customHeight="false" outlineLevel="0" collapsed="false">
      <c r="A9" s="9" t="s">
        <v>1103</v>
      </c>
      <c r="B9" s="7" t="s">
        <v>1104</v>
      </c>
      <c r="C9" s="7" t="s">
        <v>1105</v>
      </c>
    </row>
    <row r="10" customFormat="false" ht="23.85" hidden="false" customHeight="false" outlineLevel="0" collapsed="false">
      <c r="A10" s="9" t="s">
        <v>1106</v>
      </c>
      <c r="B10" s="7" t="s">
        <v>1107</v>
      </c>
      <c r="C10" s="7" t="s">
        <v>1108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2026-10-10T16:30:58Z</dcterms:created>
  <dc:creator>openpyxl</dc:creator>
  <dc:description/>
  <dc:language>en-US</dc:language>
  <cp:lastModifiedBy/>
  <dcterms:modified xsi:type="dcterms:W3CDTF">2026-10-10T23:45:20Z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