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bout" sheetId="1" state="visible" r:id="rId3"/>
    <sheet name="Personas" sheetId="2" state="visible" r:id="rId4"/>
    <sheet name="Dialogue" sheetId="3" state="visible" r:id="rId5"/>
    <sheet name="Patterns" sheetId="4" state="visible" r:id="rId6"/>
  </sheets>
  <definedNames>
    <definedName function="false" hidden="true" localSheetId="2" name="_xlnm._FilterDatabase" vbProcedure="false">Dialogue!$A$1:$Q$40</definedName>
    <definedName function="false" hidden="true" localSheetId="3" name="_xlnm._FilterDatabase" vbProcedure="false">Patterns!$A$1:$C$7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<sst xmlns="http://schemas.openxmlformats.org/spreadsheetml/2006/main" count="550" uniqueCount="367">
  <si>
    <t xml:space="preserve">Kobold Clicker: what the characters say</t>
  </si>
  <si>
    <t xml:space="preserve">Exported</t>
  </si>
  <si>
    <t xml:space="preserve">2026-10-10, from the working tree (uncommitted changes included)</t>
  </si>
  <si>
    <t xml:space="preserve">Counts</t>
  </si>
  <si>
    <t xml:space="preserve">Rows</t>
  </si>
  <si>
    <t xml:space="preserve">Pages spoken in a dialogue box</t>
  </si>
  <si>
    <t xml:space="preserve">Pages that say what to do</t>
  </si>
  <si>
    <t xml:space="preserve">Pages that set up the next page</t>
  </si>
  <si>
    <t xml:space="preserve">Pages that leave a gap</t>
  </si>
  <si>
    <t xml:space="preserve">Lines in voice</t>
  </si>
  <si>
    <t xml:space="preserve">Lines off voice</t>
  </si>
  <si>
    <t xml:space="preserve">2 - Needs a second read</t>
  </si>
  <si>
    <t xml:space="preserve">3 - Minor</t>
  </si>
  <si>
    <t xml:space="preserve">How the box paces a page</t>
  </si>
  <si>
    <t xml:space="preserve">Letters typed per second</t>
  </si>
  <si>
    <t xml:space="preserve">Source: DialogueBox.LETTERS_PER_SECOND (Scenes/UI/dialogue_box.gd). "Seconds to type" is a page's letters over this; a click finishes the page at once.</t>
  </si>
  <si>
    <t xml:space="preserve">Sheets</t>
  </si>
  <si>
    <t xml:space="preserve">Personas</t>
  </si>
  <si>
    <t xml:space="preserve">The house rules for dialogue, a persona for each speaker, the numbers behind it, and one moment written in all three voices. The flavors (cheerful and ready, tired and dry, gruff and proud) are the ones already set for the game; the rest is read off the lines the game has.</t>
  </si>
  <si>
    <t xml:space="preserve">Dialogue</t>
  </si>
  <si>
    <t xml:space="preserve">Every line a character says, one row each, checked three ways: does it tell the player what to do, is it in voice, does it read.</t>
  </si>
  <si>
    <t xml:space="preserve">Hard to read</t>
  </si>
  <si>
    <t xml:space="preserve">Only the rows with a readability problem.</t>
  </si>
  <si>
    <t xml:space="preserve">Patterns</t>
  </si>
  <si>
    <t xml:space="preserve">What runs through the dialogue as a whole.</t>
  </si>
  <si>
    <t xml:space="preserve">How to read a row</t>
  </si>
  <si>
    <t xml:space="preserve">Conversation</t>
  </si>
  <si>
    <t xml:space="preserve">The id of a first-time conversation (main_scene.gd TIPS), each shown once. "Her page" and "His page" rows are in a character's voice but written on their town page, not in a dialogue box.</t>
  </si>
  <si>
    <t xml:space="preserve">Lines in the box</t>
  </si>
  <si>
    <t xml:space="preserve">How many lines the page wraps to in the dialogue box (220 pixels wide, the body font), measured by the game itself.</t>
  </si>
  <si>
    <t xml:space="preserve">What the player should do</t>
  </si>
  <si>
    <t xml:space="preserve">The reviewer's reading of what the conversation is there for, from when it is shown.</t>
  </si>
  <si>
    <t xml:space="preserve">Does the line say so?</t>
  </si>
  <si>
    <t xml:space="preserve">The house rule as a check: the line should tell the player what to do, sideways. "Set-up" is a page that leads into the one that does.</t>
  </si>
  <si>
    <t xml:space="preserve">Voice check</t>
  </si>
  <si>
    <t xml:space="preserve">Whether the line sounds like its speaker's persona, and which signature move it shows. "Off voice" lines get a draft.</t>
  </si>
  <si>
    <t xml:space="preserve">Readability</t>
  </si>
  <si>
    <t xml:space="preserve">Blank means no problem found. 2 = the player is likely to miss what to do, or the text is wrong. 3 = small. Nothing here was rated 1. The judgement is a reviewer's reading, not a measurement.</t>
  </si>
  <si>
    <t xml:space="preserve">Draft in their voice</t>
  </si>
  <si>
    <t xml:space="preserve">A proposal written to the speaker's persona and the house rules: one hint, nothing extra. Drafts, not final lines.</t>
  </si>
  <si>
    <t xml:space="preserve">What is in</t>
  </si>
  <si>
    <t xml:space="preserve">Every page of the fifteen first-time conversations, the fortuneteller's and blacksmith's own words on their town pages, and the three speaker names.</t>
  </si>
  <si>
    <t xml:space="preserve">What is out</t>
  </si>
  <si>
    <t xml:space="preserve">Everything no character says: buttons, tooltips, item text. That is in game_copy.xlsx.</t>
  </si>
  <si>
    <t xml:space="preserve">House rules, for every speaker</t>
  </si>
  <si>
    <t xml:space="preserve">Characters speak, never a narrator</t>
  </si>
  <si>
    <t xml:space="preserve">Every first-time tip is said by someone in the world. The hero's portrait stands on the left, everyone else's on the right.</t>
  </si>
  <si>
    <t xml:space="preserve">A line tells you what to do, never directly</t>
  </si>
  <si>
    <t xml:space="preserve">Dialogue is the game's exposition: each conversation shows the player what to do with the new thing. It does so sideways, as a grumble, a boast or a joke, never as a lesson. No "click", "press" or "button", and no line that would read the same in a manual.</t>
  </si>
  <si>
    <t xml:space="preserve">Nothing extra</t>
  </si>
  <si>
    <t xml:space="preserve">One hint, and stop. What the player will see on the next screen stays unsaid.
Says too much: "It'll cost you everything but one heirloom, and you'll thank me."
Right: "It'll cost you everything but you'll thank me in the next one."</t>
  </si>
  <si>
    <t xml:space="preserve">No free pointers</t>
  </si>
  <si>
    <t xml:space="preserve">Nobody says where a thing is for nothing. Finding things is what the fortuneteller sells.</t>
  </si>
  <si>
    <t xml:space="preserve">One thought a page</t>
  </si>
  <si>
    <t xml:space="preserve">Two lines in the box or fewer. A second thought is a second page.</t>
  </si>
  <si>
    <t xml:space="preserve">Merchants do not speak</t>
  </si>
  <si>
    <t xml:space="preserve">The gear merchant and the orb vendor have no lines. Their counters say what they need to.</t>
  </si>
  <si>
    <t xml:space="preserve">Persona</t>
  </si>
  <si>
    <t xml:space="preserve">Hero</t>
  </si>
  <si>
    <t xml:space="preserve">Fortuneteller</t>
  </si>
  <si>
    <t xml:space="preserve">Blacksmith</t>
  </si>
  <si>
    <t xml:space="preserve">Flavor</t>
  </si>
  <si>
    <t xml:space="preserve">Cheerful and ready</t>
  </si>
  <si>
    <t xml:space="preserve">Tired and dry</t>
  </si>
  <si>
    <t xml:space="preserve">Gruff and proud</t>
  </si>
  <si>
    <t xml:space="preserve">In one line</t>
  </si>
  <si>
    <t xml:space="preserve">A small scavenger with big plans, delighted by everything he finds and sure it is his.</t>
  </si>
  <si>
    <t xml:space="preserve">She has watched a hundred heroes do exactly what you are about to do, and it wore her out.</t>
  </si>
  <si>
    <t xml:space="preserve">A craftsman who would rather be working than talking, and who is never the one at fault.</t>
  </si>
  <si>
    <t xml:space="preserve">Who they are</t>
  </si>
  <si>
    <t xml:space="preserve">The kobold the player plays. Scales, quick hands, not much height. Named by the player ("Adventurer" until then).</t>
  </si>
  <si>
    <t xml:space="preserve">The seer at a counter in every settlement. She sells knowledge and the way out of the world.</t>
  </si>
  <si>
    <t xml:space="preserve">The smith at his anvil. He upgrades and locks gear, and hands out the reward for a cleared bounty board.</t>
  </si>
  <si>
    <t xml:space="preserve">Where they speak</t>
  </si>
  <si>
    <t xml:space="preserve">To himself, out loud, on the map and in fights, at each first. Portrait on the left.</t>
  </si>
  <si>
    <t xml:space="preserve">At her counter, and once out on the map when the first ice wall falls. Portrait on the right.</t>
  </si>
  <si>
    <t xml:space="preserve">At his counter, and over the bounty board's reward. Portrait on the right, with his anvil.</t>
  </si>
  <si>
    <t xml:space="preserve">Attitude to the player</t>
  </si>
  <si>
    <t xml:space="preserve">He is the player. He never addresses "you": he thinks aloud.</t>
  </si>
  <si>
    <t xml:space="preserve">"You" are one more of "them". She is unimpressed, and faintly on your side.</t>
  </si>
  <si>
    <t xml:space="preserve">You are a customer he has not thrown out yet. His approval is the least he can say.</t>
  </si>
  <si>
    <t xml:space="preserve">Sentence shape</t>
  </si>
  <si>
    <t xml:space="preserve">Short bursts in the present tense, three to eight words. Often a beat, then a second beat that undoes the first.</t>
  </si>
  <si>
    <t xml:space="preserve">The future tense, in the second person: she tells you what you will do. Long sentences joined with "and" that slide from the rule into a complaint.</t>
  </si>
  <si>
    <t xml:space="preserve">Commands and verdicts. Fragments of one to five words. Never a question mark.</t>
  </si>
  <si>
    <t xml:space="preserve">Signature moves</t>
  </si>
  <si>
    <t xml:space="preserve">Claims it ("Mine now."). Tests it the dumb way and reports ("Can't eat it. I checked both."). Announces a plan ("Right. Plan."). Talks himself up, then corrects himself. Takes danger as good news. Senses things with his body (hears it breathing, feels it in his scales).</t>
  </si>
  <si>
    <t xml:space="preserve">Predicts you ("You'll want..."). Lumps you with everyone before ("They always..."). Always mentions the price, as your problem. Turns a rule into a grumble about herself ("I'm not young anymore."). Backhanded welcome ("Took you long enough.").</t>
  </si>
  <si>
    <t xml:space="preserve">Gives orders ("Don't touch anything else."). Tag statement with a full stop ("Took one on, did you."). Says the key word twice ("Pick one. One."). Blames the material or the tool, never himself. The money is settled, not discussed ("You still pay."). Proud of his own work.</t>
  </si>
  <si>
    <t xml:space="preserve">Words they reach for</t>
  </si>
  <si>
    <t xml:space="preserve">mine, stuff, proper, something, right, good, plan</t>
  </si>
  <si>
    <t xml:space="preserve">want, cost, again, always, once, they, though</t>
  </si>
  <si>
    <t xml:space="preserve">work, metal, anvil, hammer, pay, jobs, fine, good</t>
  </si>
  <si>
    <t xml:space="preserve">How they name game things</t>
  </si>
  <si>
    <t xml:space="preserve">By look and feel, never by name: "the sticky stuff", "it's warm, and it's glowing". He does not know what an orb is called.</t>
  </si>
  <si>
    <t xml:space="preserve">By what people want from them: "the chest", "the great ones", "out". She can say a spell's name once, wearily.</t>
  </si>
  <si>
    <t xml:space="preserve">By the craft: "the metal", "what's on it", "my own work". He can say "level" and "lock", flatly.</t>
  </si>
  <si>
    <t xml:space="preserve">How a rule leaks out</t>
  </si>
  <si>
    <t xml:space="preserve">As something he is about to try, or something he noticed while boasting.</t>
  </si>
  <si>
    <t xml:space="preserve">As a prediction of your mistake, or a complaint about her age or your face.</t>
  </si>
  <si>
    <t xml:space="preserve">As an order, or as whose fault it is not.</t>
  </si>
  <si>
    <t xml:space="preserve">Never</t>
  </si>
  <si>
    <t xml:space="preserve">Game terms or numbers. Advice to the player. Sarcasm (that is hers). Fear without bravado.</t>
  </si>
  <si>
    <t xml:space="preserve">Exclamation marks. Enthusiasm. Questions (she already knows). Crystal-ball talk: no spirits, no "I foresee".</t>
  </si>
  <si>
    <t xml:space="preserve">Question marks. Apologies. More than two sentences on one subject. Praise without a "fine" in front of it.</t>
  </si>
  <si>
    <t xml:space="preserve">Punctuation</t>
  </si>
  <si>
    <t xml:space="preserve">Full stops, and an exclamation mark about once in ten pages.</t>
  </si>
  <si>
    <t xml:space="preserve">Full stops and commas. Nothing else.</t>
  </si>
  <si>
    <t xml:space="preserve">Full stops. A full stop where a question mark would go.</t>
  </si>
  <si>
    <t xml:space="preserve">Lines that set the voice</t>
  </si>
  <si>
    <t xml:space="preserve">"That one dropped something. Mine now."
"Can't wear it. Can't eat it. I checked both."
"Right, clock's ticking. I love it when the clock's ticking."</t>
  </si>
  <si>
    <t xml:space="preserve">"You'll want the chest. They always want the chest."
"It'll cost you everything, but you'll thank me."
"I'm not young anymore."</t>
  </si>
  <si>
    <t xml:space="preserve">"Put it on the anvil. Don't touch anything else."
"That's the metal's fault, not mine. You still pay."
"Pick one. One."</t>
  </si>
  <si>
    <t xml:space="preserve">In the game today</t>
  </si>
  <si>
    <t xml:space="preserve">Pages in a dialogue box</t>
  </si>
  <si>
    <t xml:space="preserve">Letters a page, on average</t>
  </si>
  <si>
    <t xml:space="preserve">Longest page, in letters</t>
  </si>
  <si>
    <t xml:space="preserve">Longest page, in lines</t>
  </si>
  <si>
    <t xml:space="preserve">The same moment, three voices (drafts, unless marked)</t>
  </si>
  <si>
    <t xml:space="preserve">An ice wall falls</t>
  </si>
  <si>
    <t xml:space="preserve">It fell over! I did that. Mostly.</t>
  </si>
  <si>
    <t xml:space="preserve">The wall's down, then. Took you long enough. (in the game)</t>
  </si>
  <si>
    <t xml:space="preserve">Heard it from here. Sloppy ice.</t>
  </si>
  <si>
    <t xml:space="preserve">A unique is found</t>
  </si>
  <si>
    <t xml:space="preserve">Now this is something. I wonder how many more are out there. (in the game)</t>
  </si>
  <si>
    <t xml:space="preserve">You'll want the rest now. I know where they are. It'll cost you.</t>
  </si>
  <si>
    <t xml:space="preserve">Not my work. Good work, though. Don't repeat that.</t>
  </si>
  <si>
    <t xml:space="preserve">Not enough gold</t>
  </si>
  <si>
    <t xml:space="preserve">I counted twice. Still not enough. Counting is rigged.</t>
  </si>
  <si>
    <t xml:space="preserve">You'll be back when you can pay. They always come back.</t>
  </si>
  <si>
    <t xml:space="preserve">No coin, no hammer.</t>
  </si>
  <si>
    <t xml:space="preserve">Back after a long time away</t>
  </si>
  <si>
    <t xml:space="preserve">I had a nap. A long one. Everything's still mine, right.</t>
  </si>
  <si>
    <t xml:space="preserve">You were gone a while. I didn't notice. I'm telling you I didn't notice.</t>
  </si>
  <si>
    <t xml:space="preserve">Anvil's cold. Took your time.</t>
  </si>
  <si>
    <t xml:space="preserve">#</t>
  </si>
  <si>
    <t xml:space="preserve">Speaker</t>
  </si>
  <si>
    <t xml:space="preserve">When it is said</t>
  </si>
  <si>
    <t xml:space="preserve">Page</t>
  </si>
  <si>
    <t xml:space="preserve">Text</t>
  </si>
  <si>
    <t xml:space="preserve">Letters</t>
  </si>
  <si>
    <t xml:space="preserve">Seconds to type</t>
  </si>
  <si>
    <t xml:space="preserve">Problem</t>
  </si>
  <si>
    <t xml:space="preserve">File</t>
  </si>
  <si>
    <t xml:space="preserve">Line</t>
  </si>
  <si>
    <t xml:space="preserve">first_item</t>
  </si>
  <si>
    <t xml:space="preserve">After the fight that drops your first item. The bag button appears with it.</t>
  </si>
  <si>
    <t xml:space="preserve">1 of 2</t>
  </si>
  <si>
    <t xml:space="preserve">That one dropped something. Mine now.</t>
  </si>
  <si>
    <t xml:space="preserve">Open the bag and put it on</t>
  </si>
  <si>
    <t xml:space="preserve">Set-up for the next page</t>
  </si>
  <si>
    <t xml:space="preserve">In voice: claims it</t>
  </si>
  <si>
    <t xml:space="preserve">Scenes/main_scene.gd</t>
  </si>
  <si>
    <t xml:space="preserve">2 of 2</t>
  </si>
  <si>
    <t xml:space="preserve">Let's see if it fits.</t>
  </si>
  <si>
    <t xml:space="preserve">Yes, sideways: "see if it fits" is put it on</t>
  </si>
  <si>
    <t xml:space="preserve">In voice: tries it at once</t>
  </si>
  <si>
    <t xml:space="preserve">first_orb</t>
  </si>
  <si>
    <t xml:space="preserve">After the fight that drops your first orb.</t>
  </si>
  <si>
    <t xml:space="preserve">1 of 1</t>
  </si>
  <si>
    <t xml:space="preserve">It's warm, and it's glowing. My gear would look good glowing.</t>
  </si>
  <si>
    <t xml:space="preserve">Use the orb on a piece of gear</t>
  </si>
  <si>
    <t xml:space="preserve">Yes, sideways: he wants his gear to glow, so it goes on gear</t>
  </si>
  <si>
    <t xml:space="preserve">In voice: names it by its feel</t>
  </si>
  <si>
    <t xml:space="preserve">first_stone</t>
  </si>
  <si>
    <t xml:space="preserve">After the fight that drops your first skill node.</t>
  </si>
  <si>
    <t xml:space="preserve">Can't wear it. Can't eat it. I checked both. Maybe I can learn from it.</t>
  </si>
  <si>
    <t xml:space="preserve">Keep it: it goes on the skill tree when you transcend</t>
  </si>
  <si>
    <t xml:space="preserve">Partly: "learn from it" points at skills, not at keeping it for the next world</t>
  </si>
  <si>
    <t xml:space="preserve">In voice: tests it the dumb way and reports</t>
  </si>
  <si>
    <t xml:space="preserve">"Learn from it" points at skills, but nodes can only be placed when you transcend. The player is left holding something they cannot use, with no hint that it is for later.</t>
  </si>
  <si>
    <t xml:space="preserve">Can't wear it. Can't eat it. I checked both. Maybe I can learn from it</t>
  </si>
  <si>
    <t xml:space="preserve">level_up</t>
  </si>
  <si>
    <t xml:space="preserve">On reaching level 2. The skill tree button appears with it.</t>
  </si>
  <si>
    <t xml:space="preserve">1 of 3</t>
  </si>
  <si>
    <t xml:space="preserve">I feel stronger. Taller, even.</t>
  </si>
  <si>
    <t xml:space="preserve">Spend the skill point</t>
  </si>
  <si>
    <t xml:space="preserve">In voice: talks himself up</t>
  </si>
  <si>
    <t xml:space="preserve">2 of 3</t>
  </si>
  <si>
    <t xml:space="preserve">well ...</t>
  </si>
  <si>
    <t xml:space="preserve">In voice: catches himself</t>
  </si>
  <si>
    <t xml:space="preserve">Lowercase start and a space before the dots; the next page has a space after them. Every other line is a full sentence.</t>
  </si>
  <si>
    <t xml:space="preserve">Well...</t>
  </si>
  <si>
    <t xml:space="preserve">3 of 3</t>
  </si>
  <si>
    <t xml:space="preserve">... probably not taller.</t>
  </si>
  <si>
    <t xml:space="preserve">No: nothing hints at the point to spend</t>
  </si>
  <si>
    <t xml:space="preserve">In voice: corrects himself</t>
  </si>
  <si>
    <t xml:space="preserve">Nothing hints at the point he has to spend. The skill tree button pulses beside it, so the screen does most of the work. (Also the spaced dots: see the page before.)</t>
  </si>
  <si>
    <t xml:space="preserve">...probably not taller.</t>
  </si>
  <si>
    <t xml:space="preserve">first_farm</t>
  </si>
  <si>
    <t xml:space="preserve">On your first farm run.</t>
  </si>
  <si>
    <t xml:space="preserve">They just keep coming! Good. No rush, then.</t>
  </si>
  <si>
    <t xml:space="preserve">Stay as long as you like: there is no clock</t>
  </si>
  <si>
    <t xml:space="preserve">Yes, sideways: "no rush" is no clock</t>
  </si>
  <si>
    <t xml:space="preserve">In voice: danger is good news</t>
  </si>
  <si>
    <t xml:space="preserve">first_chart</t>
  </si>
  <si>
    <t xml:space="preserve">On your first fight for a tile.</t>
  </si>
  <si>
    <t xml:space="preserve">Right, clock's ticking. I love it when the clock's ticking.</t>
  </si>
  <si>
    <t xml:space="preserve">Kill them all before the clock runs out</t>
  </si>
  <si>
    <t xml:space="preserve">Yes, sideways: the clock is running, so hurry</t>
  </si>
  <si>
    <t xml:space="preserve">first_town</t>
  </si>
  <si>
    <t xml:space="preserve">The first time you stand on a settlement you can enter.</t>
  </si>
  <si>
    <t xml:space="preserve">Oh, it's a proper town. With a gate and everything.</t>
  </si>
  <si>
    <t xml:space="preserve">Go in and sell what you do not need</t>
  </si>
  <si>
    <t xml:space="preserve">In voice: easily impressed</t>
  </si>
  <si>
    <t xml:space="preserve">Said at the first settlement of any kind. At a Village it is in character (he is easily impressed); at a Fortress it jars.</t>
  </si>
  <si>
    <t xml:space="preserve">Ohh … a proper place. With a gate and everything.</t>
  </si>
  <si>
    <t xml:space="preserve">Right. Plan. Sell the sticky stuff, keep the sharp stuff.</t>
  </si>
  <si>
    <t xml:space="preserve">Yes, sideways: sell some, keep some</t>
  </si>
  <si>
    <t xml:space="preserve">In voice: announces a plan, names things by their feel</t>
  </si>
  <si>
    <t xml:space="preserve">first_unique</t>
  </si>
  <si>
    <t xml:space="preserve">After the fight that drops your first unique. The collection button appears with it.</t>
  </si>
  <si>
    <t xml:space="preserve">Now this is something. I wonder how many more are out there.</t>
  </si>
  <si>
    <t xml:space="preserve">Look for the rest</t>
  </si>
  <si>
    <t xml:space="preserve">Yes, sideways: there are more to find</t>
  </si>
  <si>
    <t xml:space="preserve">In voice: wants more</t>
  </si>
  <si>
    <t xml:space="preserve">first_heirloom</t>
  </si>
  <si>
    <t xml:space="preserve">After your first ice wall falls.</t>
  </si>
  <si>
    <t xml:space="preserve">The wall's down, then. Took you long enough.</t>
  </si>
  <si>
    <t xml:space="preserve">Go to a fortuneteller when you want to leave this world</t>
  </si>
  <si>
    <t xml:space="preserve">In voice: backhanded welcome</t>
  </si>
  <si>
    <t xml:space="preserve">Come see me when you want out. It'll cost you everything, but you'll thank me.</t>
  </si>
  <si>
    <t xml:space="preserve">Partly: come to her when you want out, but out of what, and where</t>
  </si>
  <si>
    <t xml:space="preserve">In voice: names the price, predicts you</t>
  </si>
  <si>
    <t xml:space="preserve">Out of what, and where is she? Said on the map, possibly before the player has met her in a town.</t>
  </si>
  <si>
    <t xml:space="preserve">Come see me in town when you want out of this world. It'll cost you everything but you'll thank me in the next one.</t>
  </si>
  <si>
    <t xml:space="preserve">first_cave</t>
  </si>
  <si>
    <t xml:space="preserve">When Gollux's cave first comes into view on the map.</t>
  </si>
  <si>
    <t xml:space="preserve">Something big lives at the bottom. I can hear it breathing.</t>
  </si>
  <si>
    <t xml:space="preserve">Go to the cave and go down</t>
  </si>
  <si>
    <t xml:space="preserve">Yes, sideways: something to go down and meet</t>
  </si>
  <si>
    <t xml:space="preserve">In voice: senses it with his body</t>
  </si>
  <si>
    <t xml:space="preserve">first_sense</t>
  </si>
  <si>
    <t xml:space="preserve">When the red light for the cave first shows at the map's edge.</t>
  </si>
  <si>
    <t xml:space="preserve">Ugh. Something evil woke up out there. I can feel it pulling at my scales.</t>
  </si>
  <si>
    <t xml:space="preserve">Follow the red light to the cave</t>
  </si>
  <si>
    <t xml:space="preserve">Partly: it pulls at him, but he does not mean to follow</t>
  </si>
  <si>
    <t xml:space="preserve">Something pulls at him, which is nearly it, but nothing says he means to follow it.</t>
  </si>
  <si>
    <t xml:space="preserve">Ugh. Something evil woke up out there. I can feel it pulling at my scales. I should go and look.</t>
  </si>
  <si>
    <t xml:space="preserve">first_accept</t>
  </si>
  <si>
    <t xml:space="preserve">After you accept your first bounty.</t>
  </si>
  <si>
    <t xml:space="preserve">Took one on, did you. Good.</t>
  </si>
  <si>
    <t xml:space="preserve">Clear the whole board for an extra reward</t>
  </si>
  <si>
    <t xml:space="preserve">In voice: tag statement, grudging approval</t>
  </si>
  <si>
    <t xml:space="preserve">Clear the whole board and there's something extra in it for you. My own work.</t>
  </si>
  <si>
    <t xml:space="preserve">Yes: clear the board, said plainly but as his offer</t>
  </si>
  <si>
    <t xml:space="preserve">In voice: pride in his own work</t>
  </si>
  <si>
    <t xml:space="preserve">first_fortune</t>
  </si>
  <si>
    <t xml:space="preserve">The first time you open the fortuneteller's tab.</t>
  </si>
  <si>
    <t xml:space="preserve">You'll want the chest. They always want the chest.</t>
  </si>
  <si>
    <t xml:space="preserve">Buy Treasure, knowing it doubles in price; great spells are once a town</t>
  </si>
  <si>
    <t xml:space="preserve">Yes, sideways: buy the reading with the chest on it</t>
  </si>
  <si>
    <t xml:space="preserve">In voice: predicts you, lumps you with "they"</t>
  </si>
  <si>
    <t xml:space="preserve">You'll want to know where the chest is. They always want to know where the chest is.</t>
  </si>
  <si>
    <t xml:space="preserve">Then you'll want it again and again and again. And it'll cost you twice as much every time, and you'll look at me like I did something.</t>
  </si>
  <si>
    <t xml:space="preserve">Yes, sideways: it costs double every time</t>
  </si>
  <si>
    <t xml:space="preserve">In voice: the rule slides into a complaint</t>
  </si>
  <si>
    <t xml:space="preserve">The longest page in the game: four lines in the box and over four seconds to type out. The run-on is her voice, so the fix is a page break, not new words.</t>
  </si>
  <si>
    <t xml:space="preserve">Remove dialog line</t>
  </si>
  <si>
    <t xml:space="preserve">Choose other spells too if you like. The great ones I can only manage once though. I'm not young anymore.</t>
  </si>
  <si>
    <t xml:space="preserve">Partly: try the others, but "once" loses "a town"</t>
  </si>
  <si>
    <t xml:space="preserve">In voice: the rule is a grumble about herself</t>
  </si>
  <si>
    <t xml:space="preserve">"Only once" is once in each town, not once ever.</t>
  </si>
  <si>
    <t xml:space="preserve">Choose other spells too if you like. The great ones I can only manage once a town though. I'm not young anymore.</t>
  </si>
  <si>
    <t xml:space="preserve">first_smith</t>
  </si>
  <si>
    <t xml:space="preserve">The first time you open the blacksmith's tab.</t>
  </si>
  <si>
    <t xml:space="preserve">Put it on the anvil. Don't touch anything else.</t>
  </si>
  <si>
    <t xml:space="preserve">Select an item and upgrade it, knowing it can break</t>
  </si>
  <si>
    <t xml:space="preserve">Yes, sideways: hold a piece up to him</t>
  </si>
  <si>
    <t xml:space="preserve">In voice: gives orders</t>
  </si>
  <si>
    <t xml:space="preserve">I can make it better quality. Whatever's on it stays on it.</t>
  </si>
  <si>
    <t xml:space="preserve">Yes, sideways: he improves it and what is on it stays</t>
  </si>
  <si>
    <t xml:space="preserve">In voice: says the key word twice ("stays on it")</t>
  </si>
  <si>
    <t xml:space="preserve">His second service, Lock, never comes up.</t>
  </si>
  <si>
    <t xml:space="preserve">I can make it better quality. Whatever's on it stays on it. Pay more and I'll make one of them stay for good.</t>
  </si>
  <si>
    <t xml:space="preserve">Now and then the metal gives. That's the metal's fault, not mine. You still pay.</t>
  </si>
  <si>
    <t xml:space="preserve">Yes, sideways: it can break and you still pay</t>
  </si>
  <si>
    <t xml:space="preserve">In voice: blames the metal, the money is settled</t>
  </si>
  <si>
    <t xml:space="preserve">"Gives" for breaks is easy to miss, and it is his one warning. The "Break 5%" beside his button backs it up.</t>
  </si>
  <si>
    <t xml:space="preserve">Now and then the metal breaks. That's the metal's fault, not mine. You still pay.</t>
  </si>
  <si>
    <t xml:space="preserve">first_board_cleared</t>
  </si>
  <si>
    <t xml:space="preserve">Over the reward, the first time you clear a bounty board.</t>
  </si>
  <si>
    <t xml:space="preserve">Cleared the whole board, did you. Fine. You'll do.</t>
  </si>
  <si>
    <t xml:space="preserve">Pick one of the three rewards</t>
  </si>
  <si>
    <t xml:space="preserve">Here. Some of my best work. Pick one. One.</t>
  </si>
  <si>
    <t xml:space="preserve">Yes: pick one, said plainly but in his voice</t>
  </si>
  <si>
    <t xml:space="preserve">In voice: says the key word twice ("One.")</t>
  </si>
  <si>
    <t xml:space="preserve">"My best work" promises crafted gear, but the three rewards can be orbs, a pile of gold or a pile of experience.</t>
  </si>
  <si>
    <t xml:space="preserve">Here. Best I've got. Pick one. One.</t>
  </si>
  <si>
    <t xml:space="preserve">I'll tell them you're ready for the nasty jobs. Nasty pays better.</t>
  </si>
  <si>
    <t xml:space="preserve">Yes, sideways: harder work next, better pay</t>
  </si>
  <si>
    <t xml:space="preserve">In voice: says the key word twice ("Nasty")</t>
  </si>
  <si>
    <t xml:space="preserve">Her page: before Transcend</t>
  </si>
  <si>
    <t xml:space="preserve">In the question she asks before you leave the world.</t>
  </si>
  <si>
    <t xml:space="preserve">The ice will take this world back, and you will wake in another.</t>
  </si>
  <si>
    <t xml:space="preserve">What transcending costs and gives</t>
  </si>
  <si>
    <t xml:space="preserve">Off voice: solemn, where her box voice is dry</t>
  </si>
  <si>
    <t xml:space="preserve">The ice takes this world back, and you wake up in another</t>
  </si>
  <si>
    <t xml:space="preserve">Scenes/UI/town_page.gd</t>
  </si>
  <si>
    <t xml:space="preserve">Your bag, gold, orbs, levels and this land are lost. What waits on the other side is worth far more.</t>
  </si>
  <si>
    <t xml:space="preserve">Off voice: solemn, where she is dry and sure of you</t>
  </si>
  <si>
    <t xml:space="preserve">You'll lose the bag, the gold, the orbs, the levels and the land. You'll say it was worth it. They always do.</t>
  </si>
  <si>
    <t xml:space="preserve">Her page: answer to Roads</t>
  </si>
  <si>
    <t xml:space="preserve">After you pay for the Roads reading.</t>
  </si>
  <si>
    <t xml:space="preserve">Every settlement between these walls is now on your map.</t>
  </si>
  <si>
    <t xml:space="preserve">What the spell did</t>
  </si>
  <si>
    <t xml:space="preserve">Off voice: neutral, no speaker in it</t>
  </si>
  <si>
    <t xml:space="preserve">There. Every settlement between these walls is on your map. You'll walk past half of them anyway.</t>
  </si>
  <si>
    <t xml:space="preserve">Her page: answer to Treasure</t>
  </si>
  <si>
    <t xml:space="preserve">After you pay for the Treasure reading.</t>
  </si>
  <si>
    <t xml:space="preserve">A star now stands over the nearest chest you have not seen.</t>
  </si>
  <si>
    <t xml:space="preserve">There's a star over the nearest chest you haven't seen. Come back when you want another.</t>
  </si>
  <si>
    <t xml:space="preserve">It stays until that chest is opened.</t>
  </si>
  <si>
    <t xml:space="preserve">It stays until you open it. I don't do refunds.</t>
  </si>
  <si>
    <t xml:space="preserve">Her page: answer to Appraise</t>
  </si>
  <si>
    <t xml:space="preserve">Heading over the table she reads off an item.</t>
  </si>
  <si>
    <t xml:space="preserve">Every modifier a %s can roll</t>
  </si>
  <si>
    <t xml:space="preserve">What the table lists</t>
  </si>
  <si>
    <t xml:space="preserve">Not speech: a table heading</t>
  </si>
  <si>
    <t xml:space="preserve">Shows as "Every modifier a Iron Sword can roll" or "a Leather Boots can roll": the article is wrong for names that start with a vowel or are plural.</t>
  </si>
  <si>
    <t xml:space="preserve">%s: every modifier it can roll</t>
  </si>
  <si>
    <t xml:space="preserve">Her page: Appraise refused</t>
  </si>
  <si>
    <t xml:space="preserve">Tooltip on Appraise while a unique is selected.</t>
  </si>
  <si>
    <t xml:space="preserve">Its lines are already written</t>
  </si>
  <si>
    <t xml:space="preserve">Why she will not appraise a unique</t>
  </si>
  <si>
    <t xml:space="preserve">In voice: dry</t>
  </si>
  <si>
    <t xml:space="preserve">A greyed button's reason has to be understood at once, and this does not say what "it" is.</t>
  </si>
  <si>
    <t xml:space="preserve">A unique's lines are already written</t>
  </si>
  <si>
    <t xml:space="preserve">Scenes/Town/fortune_teller.gd</t>
  </si>
  <si>
    <t xml:space="preserve">His page: after a failed upgrade</t>
  </si>
  <si>
    <t xml:space="preserve">On his counter, after an upgrade breaks the item.</t>
  </si>
  <si>
    <t xml:space="preserve">The hammer broke it.</t>
  </si>
  <si>
    <t xml:space="preserve">The upgrade broke the item</t>
  </si>
  <si>
    <t xml:space="preserve">In voice: blames the tool</t>
  </si>
  <si>
    <t xml:space="preserve">His page: upgrade or lock refused</t>
  </si>
  <si>
    <t xml:space="preserve">Tooltip on his buttons while a broken item is selected.</t>
  </si>
  <si>
    <t xml:space="preserve">This item is broken</t>
  </si>
  <si>
    <t xml:space="preserve">Why he will not work on it</t>
  </si>
  <si>
    <t xml:space="preserve">It's broken. Not my job to mend it.</t>
  </si>
  <si>
    <t xml:space="preserve">Scenes/Town/blacksmith.gd</t>
  </si>
  <si>
    <t xml:space="preserve">Speaker name</t>
  </si>
  <si>
    <t xml:space="preserve">Title of the hero's box until the player renames him.</t>
  </si>
  <si>
    <t xml:space="preserve">Adventurer</t>
  </si>
  <si>
    <t xml:space="preserve">Who is speaking</t>
  </si>
  <si>
    <t xml:space="preserve">Title of her box.</t>
  </si>
  <si>
    <t xml:space="preserve">Title of his box.</t>
  </si>
  <si>
    <t xml:space="preserve">Habit</t>
  </si>
  <si>
    <t xml:space="preserve">Where it shows</t>
  </si>
  <si>
    <t xml:space="preserve">What to do</t>
  </si>
  <si>
    <t xml:space="preserve">Ten of the fifteen conversations already do it</t>
  </si>
  <si>
    <t xml:space="preserve">They tell the player what to do without saying it: "Let's see if it fits.", "My gear would look good glowing.", "Sell the sticky stuff, keep the sharp stuff.", "You'll want the chest.", "You still pay."</t>
  </si>
  <si>
    <t xml:space="preserve">Keep them as they are.</t>
  </si>
  <si>
    <t xml:space="preserve">Five leave a gap</t>
  </si>
  <si>
    <t xml:space="preserve">The skill node (nothing says it is for later), the level-up (nothing about the point to spend), the first wall ("want out" of what, and where she is), the red light (it pulls at him, and he stays put) and the great spells ("once", where it is once a town).</t>
  </si>
  <si>
    <t xml:space="preserve">One more hint each, in the speaker's own way, and nothing else. The drafts add a few words each.</t>
  </si>
  <si>
    <t xml:space="preserve">Sideways works when the screen backs it up</t>
  </si>
  <si>
    <t xml:space="preserve">"The chest" sits beside a spell with a chest on it. "Better quality" sits beside "Level 5 to 6". "The metal gives" sits beside "Break 5%". "Want out" is said out on the map, far from her Transcend button, which is why it is the one that does not land.</t>
  </si>
  <si>
    <t xml:space="preserve">Check what is on screen when a line is spoken. The further the thing is from the line, the more the line has to carry.</t>
  </si>
  <si>
    <t xml:space="preserve">The fortuneteller has two voices</t>
  </si>
  <si>
    <t xml:space="preserve">In her dialogue box she is dry and blunt ("Took you long enough."). On her page she is solemn or neutral ("The ice will take this world back...", "A star now stands over the nearest chest...").</t>
  </si>
  <si>
    <t xml:space="preserve">Write her page lines to her persona, or present them as the game's words and not hers.</t>
  </si>
  <si>
    <t xml:space="preserve">Length is not the problem</t>
  </si>
  <si>
    <t xml:space="preserve">Of the 27 pages, 25 are one or two lines in the box. Only the fortuneteller's first visit runs longer (four lines, then three).</t>
  </si>
  <si>
    <t xml:space="preserve">Nothing to change, except a page break in her second page.</t>
  </si>
  <si>
    <t xml:space="preserve">What works</t>
  </si>
  <si>
    <t xml:space="preserve">The three voices are distinct and stay in character on every page spoken in a dialogue box. Pages are short, one thought each, and none needed a second read for its grammar.</t>
  </si>
  <si>
    <t xml:space="preserve">Keep it.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</si>
</sst>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EAD9C0"/>
        <bgColor rgb="FFFCE8B2"/>
      </patternFill>
    </fill>
    <fill>
      <patternFill patternType="solid">
        <fgColor rgb="FF3A2A1E"/>
        <bgColor rgb="FF333300"/>
      </patternFill>
    </fill>
    <fill>
      <patternFill patternType="solid">
        <fgColor rgb="FFFCE8B2"/>
        <bgColor rgb="FFEAD9C0"/>
      </patternFill>
    </fill>
    <fill>
      <patternFill patternType="solid">
        <fgColor rgb="FFE8F0D8"/>
        <bgColor rgb="FFFCE8B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8" fillId="3"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4" borderId="0" xfId="0" applyFont="true" applyBorder="false" applyAlignment="true" applyProtection="true">
      <alignment horizontal="general" vertical="top" textRotation="0" wrapText="false" indent="0" shrinkToFit="false"/>
      <protection locked="true" hidden="false"/>
    </xf>
    <xf numFmtId="164" fontId="5" fillId="5" borderId="0" xfId="0" applyFont="tru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A2A1E"/>
          <bgColor rgb="FF000000"/>
        </patternFill>
      </fill>
    </dxf>
    <dxf>
      <fill>
        <patternFill patternType="solid">
          <bgColor rgb="FF000000"/>
        </patternFill>
      </fill>
    </dxf>
    <dxf>
      <fill>
        <patternFill patternType="solid">
          <fgColor rgb="FFFFFFFF"/>
          <bgColor rgb="FF000000"/>
        </patternFill>
      </fill>
    </dxf>
    <dxf>
      <fill>
        <patternFill patternType="solid">
          <fgColor rgb="FFE8F0D8"/>
          <bgColor rgb="FF000000"/>
        </patternFill>
      </fill>
    </dxf>
    <dxf>
      <fill>
        <patternFill patternType="solid">
          <fgColor rgb="FFFCE8B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8F0D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8B2"/>
      <rgbColor rgb="FF99CCFF"/>
      <rgbColor rgb="FFFF99CC"/>
      <rgbColor rgb="FFCC99FF"/>
      <rgbColor rgb="FFEAD9C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A2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10"/>
  </cols>
  <sheetData>
    <row r="1" customFormat="false" ht="32.8" hidden="false" customHeight="false" outlineLevel="0" collapsed="false">
      <c r="A1" s="2" t="s">
        <v>0</v>
      </c>
      <c r="B1" s="3"/>
    </row>
    <row r="2" customFormat="false" ht="15" hidden="false" customHeight="false" outlineLevel="0" collapsed="false">
      <c r="A2" s="3" t="s">
        <v>1</v>
      </c>
      <c r="B2" s="3" t="s">
        <v>2</v>
      </c>
    </row>
    <row r="3" customFormat="false" ht="15" hidden="false" customHeight="false" outlineLevel="0" collapsed="false">
      <c r="A3" s="3"/>
      <c r="B3" s="3"/>
    </row>
    <row r="4" customFormat="false" ht="15" hidden="false" customHeight="false" outlineLevel="0" collapsed="false">
      <c r="A4" s="4" t="s">
        <v>3</v>
      </c>
      <c r="B4" s="3"/>
    </row>
    <row r="5" customFormat="false" ht="15" hidden="false" customHeight="false" outlineLevel="0" collapsed="false">
      <c r="A5" s="3" t="s">
        <v>4</v>
      </c>
      <c r="B5" s="3" t="n">
        <f aca="false">COUNTA(Dialogue!F2:F40)</f>
        <v>39</v>
      </c>
    </row>
    <row r="6" customFormat="false" ht="15" hidden="false" customHeight="false" outlineLevel="0" collapsed="false">
      <c r="A6" s="3" t="s">
        <v>5</v>
      </c>
      <c r="B6" s="3" t="n">
        <f aca="false">COUNTIF(Dialogue!E2:E40,"* of *")</f>
        <v>27</v>
      </c>
    </row>
    <row r="7" customFormat="false" ht="15" hidden="false" customHeight="false" outlineLevel="0" collapsed="false">
      <c r="A7" s="3" t="s">
        <v>6</v>
      </c>
      <c r="B7" s="3" t="n">
        <f aca="false">COUNTIF(Dialogue!K2:K40,"Yes*")</f>
        <v>15</v>
      </c>
    </row>
    <row r="8" customFormat="false" ht="15" hidden="false" customHeight="false" outlineLevel="0" collapsed="false">
      <c r="A8" s="3" t="s">
        <v>7</v>
      </c>
      <c r="B8" s="3" t="n">
        <f aca="false">COUNTIF(Dialogue!K2:K40,"Set-up*")</f>
        <v>7</v>
      </c>
    </row>
    <row r="9" customFormat="false" ht="15" hidden="false" customHeight="false" outlineLevel="0" collapsed="false">
      <c r="A9" s="3" t="s">
        <v>8</v>
      </c>
      <c r="B9" s="3" t="n">
        <f aca="false">COUNTIF(Dialogue!K2:K40,"Partly*")+COUNTIF(Dialogue!K2:K40,"No*")</f>
        <v>5</v>
      </c>
    </row>
    <row r="10" customFormat="false" ht="15" hidden="false" customHeight="false" outlineLevel="0" collapsed="false">
      <c r="A10" s="3" t="s">
        <v>9</v>
      </c>
      <c r="B10" s="3" t="n">
        <f aca="false">COUNTIF(Dialogue!L2:L40,"In voice*")</f>
        <v>29</v>
      </c>
    </row>
    <row r="11" customFormat="false" ht="15" hidden="false" customHeight="false" outlineLevel="0" collapsed="false">
      <c r="A11" s="3" t="s">
        <v>10</v>
      </c>
      <c r="B11" s="3" t="n">
        <f aca="false">COUNTIF(Dialogue!L2:L40,"Off voice*")</f>
        <v>6</v>
      </c>
    </row>
    <row r="12" customFormat="false" ht="15" hidden="false" customHeight="false" outlineLevel="0" collapsed="false">
      <c r="A12" s="3" t="s">
        <v>11</v>
      </c>
      <c r="B12" s="3" t="n">
        <f aca="false">COUNTIF(Dialogue!M2:M40,"2 - *")</f>
        <v>4</v>
      </c>
    </row>
    <row r="13" customFormat="false" ht="15" hidden="false" customHeight="false" outlineLevel="0" collapsed="false">
      <c r="A13" s="3" t="s">
        <v>12</v>
      </c>
      <c r="B13" s="3" t="n">
        <f aca="false">COUNTIF(Dialogue!M2:M40,"3 - *")</f>
        <v>10</v>
      </c>
    </row>
    <row r="14" customFormat="false" ht="15" hidden="false" customHeight="false" outlineLevel="0" collapsed="false">
      <c r="A14" s="3"/>
      <c r="B14" s="3"/>
    </row>
    <row r="15" customFormat="false" ht="15" hidden="false" customHeight="false" outlineLevel="0" collapsed="false">
      <c r="A15" s="4" t="s">
        <v>13</v>
      </c>
      <c r="B15" s="3"/>
    </row>
    <row r="16" customFormat="false" ht="15" hidden="false" customHeight="false" outlineLevel="0" collapsed="false">
      <c r="A16" s="3" t="s">
        <v>14</v>
      </c>
      <c r="B16" s="3" t="n">
        <v>30</v>
      </c>
    </row>
    <row r="17" customFormat="false" ht="23.85" hidden="false" customHeight="false" outlineLevel="0" collapsed="false">
      <c r="A17" s="3"/>
      <c r="B17" s="3" t="s">
        <v>15</v>
      </c>
    </row>
    <row r="18" customFormat="false" ht="15" hidden="false" customHeight="false" outlineLevel="0" collapsed="false">
      <c r="A18" s="3"/>
      <c r="B18" s="3"/>
    </row>
    <row r="19" customFormat="false" ht="15" hidden="false" customHeight="false" outlineLevel="0" collapsed="false">
      <c r="A19" s="4" t="s">
        <v>16</v>
      </c>
      <c r="B19" s="3"/>
    </row>
    <row r="20" customFormat="false" ht="23.85" hidden="false" customHeight="false" outlineLevel="0" collapsed="false">
      <c r="A20" s="3" t="s">
        <v>17</v>
      </c>
      <c r="B20" s="3" t="s">
        <v>18</v>
      </c>
    </row>
    <row r="21" customFormat="false" ht="15" hidden="false" customHeight="false" outlineLevel="0" collapsed="false">
      <c r="A21" s="3" t="s">
        <v>19</v>
      </c>
      <c r="B21" s="3" t="s">
        <v>20</v>
      </c>
    </row>
    <row r="22" customFormat="false" ht="15" hidden="false" customHeight="false" outlineLevel="0" collapsed="false">
      <c r="A22" s="3" t="s">
        <v>21</v>
      </c>
      <c r="B22" s="3" t="s">
        <v>22</v>
      </c>
    </row>
    <row r="23" customFormat="false" ht="15" hidden="false" customHeight="false" outlineLevel="0" collapsed="false">
      <c r="A23" s="3" t="s">
        <v>23</v>
      </c>
      <c r="B23" s="3" t="s">
        <v>24</v>
      </c>
    </row>
    <row r="24" customFormat="false" ht="15" hidden="false" customHeight="false" outlineLevel="0" collapsed="false">
      <c r="A24" s="3"/>
      <c r="B24" s="3"/>
    </row>
    <row r="25" customFormat="false" ht="15" hidden="false" customHeight="false" outlineLevel="0" collapsed="false">
      <c r="A25" s="4" t="s">
        <v>25</v>
      </c>
      <c r="B25" s="3"/>
    </row>
    <row r="26" customFormat="false" ht="23.85" hidden="false" customHeight="false" outlineLevel="0" collapsed="false">
      <c r="A26" s="3" t="s">
        <v>26</v>
      </c>
      <c r="B26" s="3" t="s">
        <v>27</v>
      </c>
    </row>
    <row r="27" customFormat="false" ht="15" hidden="false" customHeight="false" outlineLevel="0" collapsed="false">
      <c r="A27" s="3" t="s">
        <v>28</v>
      </c>
      <c r="B27" s="3" t="s">
        <v>29</v>
      </c>
    </row>
    <row r="28" customFormat="false" ht="15" hidden="false" customHeight="false" outlineLevel="0" collapsed="false">
      <c r="A28" s="3" t="s">
        <v>30</v>
      </c>
      <c r="B28" s="3" t="s">
        <v>31</v>
      </c>
    </row>
    <row r="29" customFormat="false" ht="15" hidden="false" customHeight="false" outlineLevel="0" collapsed="false">
      <c r="A29" s="3" t="s">
        <v>32</v>
      </c>
      <c r="B29" s="3" t="s">
        <v>33</v>
      </c>
    </row>
    <row r="30" customFormat="false" ht="15" hidden="false" customHeight="false" outlineLevel="0" collapsed="false">
      <c r="A30" s="3" t="s">
        <v>34</v>
      </c>
      <c r="B30" s="3" t="s">
        <v>35</v>
      </c>
    </row>
    <row r="31" customFormat="false" ht="23.85" hidden="false" customHeight="false" outlineLevel="0" collapsed="false">
      <c r="A31" s="3" t="s">
        <v>36</v>
      </c>
      <c r="B31" s="3" t="s">
        <v>37</v>
      </c>
    </row>
    <row r="32" customFormat="false" ht="15" hidden="false" customHeight="false" outlineLevel="0" collapsed="false">
      <c r="A32" s="3" t="s">
        <v>38</v>
      </c>
      <c r="B32" s="3" t="s">
        <v>39</v>
      </c>
    </row>
    <row r="33" customFormat="false" ht="15" hidden="false" customHeight="false" outlineLevel="0" collapsed="false">
      <c r="A33" s="3"/>
      <c r="B33" s="3"/>
    </row>
    <row r="34" customFormat="false" ht="23.85" hidden="false" customHeight="false" outlineLevel="0" collapsed="false">
      <c r="A34" s="3" t="s">
        <v>40</v>
      </c>
      <c r="B34" s="3" t="s">
        <v>41</v>
      </c>
    </row>
    <row r="35" customFormat="false" ht="15" hidden="false" customHeight="false" outlineLevel="0" collapsed="false">
      <c r="A35" s="3" t="s">
        <v>42</v>
      </c>
      <c r="B35"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4" min="2" style="1" width="58"/>
  </cols>
  <sheetData>
    <row r="1" customFormat="false" ht="26.85" hidden="false" customHeight="false" outlineLevel="0" collapsed="false">
      <c r="A1" s="5" t="s">
        <v>44</v>
      </c>
      <c r="B1" s="6"/>
      <c r="C1" s="6"/>
      <c r="D1" s="6"/>
    </row>
    <row r="2" customFormat="false" ht="23.85" hidden="false" customHeight="true" outlineLevel="0" collapsed="false">
      <c r="A2" s="7" t="s">
        <v>45</v>
      </c>
      <c r="B2" s="8" t="s">
        <v>46</v>
      </c>
      <c r="C2" s="8"/>
      <c r="D2" s="8"/>
    </row>
    <row r="3" customFormat="false" ht="23.85" hidden="false" customHeight="true" outlineLevel="0" collapsed="false">
      <c r="A3" s="7" t="s">
        <v>47</v>
      </c>
      <c r="B3" s="8" t="s">
        <v>48</v>
      </c>
      <c r="C3" s="8"/>
      <c r="D3" s="8"/>
    </row>
    <row r="4" customFormat="false" ht="35.05" hidden="false" customHeight="true" outlineLevel="0" collapsed="false">
      <c r="A4" s="7" t="s">
        <v>49</v>
      </c>
      <c r="B4" s="8" t="s">
        <v>50</v>
      </c>
      <c r="C4" s="8"/>
      <c r="D4" s="8"/>
    </row>
    <row r="5" customFormat="false" ht="15" hidden="false" customHeight="true" outlineLevel="0" collapsed="false">
      <c r="A5" s="7" t="s">
        <v>51</v>
      </c>
      <c r="B5" s="8" t="s">
        <v>52</v>
      </c>
      <c r="C5" s="8"/>
      <c r="D5" s="8"/>
    </row>
    <row r="6" customFormat="false" ht="15" hidden="false" customHeight="true" outlineLevel="0" collapsed="false">
      <c r="A6" s="7" t="s">
        <v>53</v>
      </c>
      <c r="B6" s="8" t="s">
        <v>54</v>
      </c>
      <c r="C6" s="8"/>
      <c r="D6" s="8"/>
    </row>
    <row r="7" customFormat="false" ht="15" hidden="false" customHeight="true" outlineLevel="0" collapsed="false">
      <c r="A7" s="7" t="s">
        <v>55</v>
      </c>
      <c r="B7" s="8" t="s">
        <v>56</v>
      </c>
      <c r="C7" s="8"/>
      <c r="D7" s="8"/>
    </row>
    <row r="9" customFormat="false" ht="15" hidden="false" customHeight="false" outlineLevel="0" collapsed="false">
      <c r="A9" s="5" t="s">
        <v>57</v>
      </c>
      <c r="B9" s="5" t="s">
        <v>58</v>
      </c>
      <c r="C9" s="5" t="s">
        <v>59</v>
      </c>
      <c r="D9" s="5" t="s">
        <v>60</v>
      </c>
    </row>
    <row r="10" customFormat="false" ht="15" hidden="false" customHeight="false" outlineLevel="0" collapsed="false">
      <c r="A10" s="7" t="s">
        <v>61</v>
      </c>
      <c r="B10" s="3" t="s">
        <v>62</v>
      </c>
      <c r="C10" s="3" t="s">
        <v>63</v>
      </c>
      <c r="D10" s="3" t="s">
        <v>64</v>
      </c>
    </row>
    <row r="11" customFormat="false" ht="23.85" hidden="false" customHeight="false" outlineLevel="0" collapsed="false">
      <c r="A11" s="7" t="s">
        <v>65</v>
      </c>
      <c r="B11" s="3" t="s">
        <v>66</v>
      </c>
      <c r="C11" s="3" t="s">
        <v>67</v>
      </c>
      <c r="D11" s="3" t="s">
        <v>68</v>
      </c>
    </row>
    <row r="12" customFormat="false" ht="23.85" hidden="false" customHeight="false" outlineLevel="0" collapsed="false">
      <c r="A12" s="7" t="s">
        <v>69</v>
      </c>
      <c r="B12" s="3" t="s">
        <v>70</v>
      </c>
      <c r="C12" s="3" t="s">
        <v>71</v>
      </c>
      <c r="D12" s="3" t="s">
        <v>72</v>
      </c>
    </row>
    <row r="13" customFormat="false" ht="23.85" hidden="false" customHeight="false" outlineLevel="0" collapsed="false">
      <c r="A13" s="7" t="s">
        <v>73</v>
      </c>
      <c r="B13" s="3" t="s">
        <v>74</v>
      </c>
      <c r="C13" s="3" t="s">
        <v>75</v>
      </c>
      <c r="D13" s="3" t="s">
        <v>76</v>
      </c>
    </row>
    <row r="14" customFormat="false" ht="23.85" hidden="false" customHeight="false" outlineLevel="0" collapsed="false">
      <c r="A14" s="7" t="s">
        <v>77</v>
      </c>
      <c r="B14" s="3" t="s">
        <v>78</v>
      </c>
      <c r="C14" s="3" t="s">
        <v>79</v>
      </c>
      <c r="D14" s="3" t="s">
        <v>80</v>
      </c>
    </row>
    <row r="15" customFormat="false" ht="35.05" hidden="false" customHeight="false" outlineLevel="0" collapsed="false">
      <c r="A15" s="7" t="s">
        <v>81</v>
      </c>
      <c r="B15" s="3" t="s">
        <v>82</v>
      </c>
      <c r="C15" s="3" t="s">
        <v>83</v>
      </c>
      <c r="D15" s="3" t="s">
        <v>84</v>
      </c>
    </row>
    <row r="16" customFormat="false" ht="46.25" hidden="false" customHeight="false" outlineLevel="0" collapsed="false">
      <c r="A16" s="7" t="s">
        <v>85</v>
      </c>
      <c r="B16" s="3" t="s">
        <v>86</v>
      </c>
      <c r="C16" s="3" t="s">
        <v>87</v>
      </c>
      <c r="D16" s="3" t="s">
        <v>88</v>
      </c>
    </row>
    <row r="17" customFormat="false" ht="15" hidden="false" customHeight="false" outlineLevel="0" collapsed="false">
      <c r="A17" s="7" t="s">
        <v>89</v>
      </c>
      <c r="B17" s="3" t="s">
        <v>90</v>
      </c>
      <c r="C17" s="3" t="s">
        <v>91</v>
      </c>
      <c r="D17" s="3" t="s">
        <v>92</v>
      </c>
    </row>
    <row r="18" customFormat="false" ht="23.85" hidden="false" customHeight="false" outlineLevel="0" collapsed="false">
      <c r="A18" s="7" t="s">
        <v>93</v>
      </c>
      <c r="B18" s="3" t="s">
        <v>94</v>
      </c>
      <c r="C18" s="3" t="s">
        <v>95</v>
      </c>
      <c r="D18" s="3" t="s">
        <v>96</v>
      </c>
    </row>
    <row r="19" customFormat="false" ht="23.85" hidden="false" customHeight="false" outlineLevel="0" collapsed="false">
      <c r="A19" s="7" t="s">
        <v>97</v>
      </c>
      <c r="B19" s="3" t="s">
        <v>98</v>
      </c>
      <c r="C19" s="3" t="s">
        <v>99</v>
      </c>
      <c r="D19" s="3" t="s">
        <v>100</v>
      </c>
    </row>
    <row r="20" customFormat="false" ht="23.85" hidden="false" customHeight="false" outlineLevel="0" collapsed="false">
      <c r="A20" s="7" t="s">
        <v>101</v>
      </c>
      <c r="B20" s="3" t="s">
        <v>102</v>
      </c>
      <c r="C20" s="3" t="s">
        <v>103</v>
      </c>
      <c r="D20" s="3" t="s">
        <v>104</v>
      </c>
    </row>
    <row r="21" customFormat="false" ht="15" hidden="false" customHeight="false" outlineLevel="0" collapsed="false">
      <c r="A21" s="7" t="s">
        <v>105</v>
      </c>
      <c r="B21" s="3" t="s">
        <v>106</v>
      </c>
      <c r="C21" s="3" t="s">
        <v>107</v>
      </c>
      <c r="D21" s="3" t="s">
        <v>108</v>
      </c>
    </row>
    <row r="22" customFormat="false" ht="35.05" hidden="false" customHeight="false" outlineLevel="0" collapsed="false">
      <c r="A22" s="7" t="s">
        <v>109</v>
      </c>
      <c r="B22" s="3" t="s">
        <v>110</v>
      </c>
      <c r="C22" s="3" t="s">
        <v>111</v>
      </c>
      <c r="D22" s="3" t="s">
        <v>112</v>
      </c>
    </row>
    <row r="24" customFormat="false" ht="15" hidden="false" customHeight="false" outlineLevel="0" collapsed="false">
      <c r="A24" s="5" t="s">
        <v>113</v>
      </c>
      <c r="B24" s="5" t="s">
        <v>58</v>
      </c>
      <c r="C24" s="5" t="s">
        <v>59</v>
      </c>
      <c r="D24" s="5" t="s">
        <v>60</v>
      </c>
    </row>
    <row r="25" customFormat="false" ht="15" hidden="false" customHeight="false" outlineLevel="0" collapsed="false">
      <c r="A25" s="7" t="s">
        <v>114</v>
      </c>
      <c r="B25" s="3" t="n">
        <f aca="false">COUNTIFS(Dialogue!$B$2:$B$40,"Hero",Dialogue!$E$2:$E$40,"* of *")</f>
        <v>14</v>
      </c>
      <c r="C25" s="3" t="n">
        <f aca="false">COUNTIFS(Dialogue!$B$2:$B$40,"Fortuneteller",Dialogue!$E$2:$E$40,"* of *")</f>
        <v>5</v>
      </c>
      <c r="D25" s="3" t="n">
        <f aca="false">COUNTIFS(Dialogue!$B$2:$B$40,"Blacksmith",Dialogue!$E$2:$E$40,"* of *")</f>
        <v>8</v>
      </c>
    </row>
    <row r="26" customFormat="false" ht="15" hidden="false" customHeight="false" outlineLevel="0" collapsed="false">
      <c r="A26" s="7" t="s">
        <v>115</v>
      </c>
      <c r="B26" s="3" t="n">
        <f aca="false">ROUND(AVERAGEIFS(Dialogue!$G$2:$G$40,Dialogue!$B$2:$B$40,"Hero",Dialogue!$E$2:$E$40,"* of *"),0)</f>
        <v>47</v>
      </c>
      <c r="C26" s="3" t="n">
        <f aca="false">ROUND(AVERAGEIFS(Dialogue!$G$2:$G$40,Dialogue!$B$2:$B$40,"Fortuneteller",Dialogue!$E$2:$E$40,"* of *"),0)</f>
        <v>82</v>
      </c>
      <c r="D26" s="3" t="n">
        <f aca="false">ROUND(AVERAGEIFS(Dialogue!$G$2:$G$40,Dialogue!$B$2:$B$40,"Blacksmith",Dialogue!$E$2:$E$40,"* of *"),0)</f>
        <v>56</v>
      </c>
    </row>
    <row r="27" customFormat="false" ht="15" hidden="false" customHeight="false" outlineLevel="0" collapsed="false">
      <c r="A27" s="7" t="s">
        <v>116</v>
      </c>
      <c r="B27" s="3" t="n">
        <f aca="false">_xlfn.MAXIFS(Dialogue!$G$2:$G$40,Dialogue!$B$2:$B$40,"Hero",Dialogue!$E$2:$E$40,"* of *")</f>
        <v>74</v>
      </c>
      <c r="C27" s="3" t="n">
        <f aca="false">_xlfn.MAXIFS(Dialogue!$G$2:$G$40,Dialogue!$B$2:$B$40,"Fortuneteller",Dialogue!$E$2:$E$40,"* of *")</f>
        <v>135</v>
      </c>
      <c r="D27" s="3" t="n">
        <f aca="false">_xlfn.MAXIFS(Dialogue!$G$2:$G$40,Dialogue!$B$2:$B$40,"Blacksmith",Dialogue!$E$2:$E$40,"* of *")</f>
        <v>80</v>
      </c>
    </row>
    <row r="28" customFormat="false" ht="15" hidden="false" customHeight="false" outlineLevel="0" collapsed="false">
      <c r="A28" s="7" t="s">
        <v>117</v>
      </c>
      <c r="B28" s="3" t="n">
        <f aca="false">_xlfn.MAXIFS(Dialogue!$H$2:$H$40,Dialogue!$B$2:$B$40,"Hero",Dialogue!$E$2:$E$40,"* of *")</f>
        <v>2</v>
      </c>
      <c r="C28" s="3" t="n">
        <f aca="false">_xlfn.MAXIFS(Dialogue!$H$2:$H$40,Dialogue!$B$2:$B$40,"Fortuneteller",Dialogue!$E$2:$E$40,"* of *")</f>
        <v>4</v>
      </c>
      <c r="D28" s="3" t="n">
        <f aca="false">_xlfn.MAXIFS(Dialogue!$H$2:$H$40,Dialogue!$B$2:$B$40,"Blacksmith",Dialogue!$E$2:$E$40,"* of *")</f>
        <v>2</v>
      </c>
    </row>
    <row r="30" customFormat="false" ht="39.55" hidden="false" customHeight="false" outlineLevel="0" collapsed="false">
      <c r="A30" s="5" t="s">
        <v>118</v>
      </c>
      <c r="B30" s="5" t="s">
        <v>58</v>
      </c>
      <c r="C30" s="5" t="s">
        <v>59</v>
      </c>
      <c r="D30" s="5" t="s">
        <v>60</v>
      </c>
    </row>
    <row r="31" customFormat="false" ht="15" hidden="false" customHeight="false" outlineLevel="0" collapsed="false">
      <c r="A31" s="7" t="s">
        <v>119</v>
      </c>
      <c r="B31" s="3" t="s">
        <v>120</v>
      </c>
      <c r="C31" s="3" t="s">
        <v>121</v>
      </c>
      <c r="D31" s="3" t="s">
        <v>122</v>
      </c>
    </row>
    <row r="32" customFormat="false" ht="23.85" hidden="false" customHeight="false" outlineLevel="0" collapsed="false">
      <c r="A32" s="7" t="s">
        <v>123</v>
      </c>
      <c r="B32" s="3" t="s">
        <v>124</v>
      </c>
      <c r="C32" s="3" t="s">
        <v>125</v>
      </c>
      <c r="D32" s="3" t="s">
        <v>126</v>
      </c>
    </row>
    <row r="33" customFormat="false" ht="15" hidden="false" customHeight="false" outlineLevel="0" collapsed="false">
      <c r="A33" s="7" t="s">
        <v>127</v>
      </c>
      <c r="B33" s="3" t="s">
        <v>128</v>
      </c>
      <c r="C33" s="3" t="s">
        <v>129</v>
      </c>
      <c r="D33" s="3" t="s">
        <v>130</v>
      </c>
    </row>
    <row r="34" customFormat="false" ht="15" hidden="false" customHeight="false" outlineLevel="0" collapsed="false">
      <c r="A34" s="7" t="s">
        <v>131</v>
      </c>
      <c r="B34" s="3" t="s">
        <v>132</v>
      </c>
      <c r="C34" s="3" t="s">
        <v>133</v>
      </c>
      <c r="D34" s="3" t="s">
        <v>134</v>
      </c>
    </row>
  </sheetData>
  <mergeCells count="6">
    <mergeCell ref="B2:D2"/>
    <mergeCell ref="B3:D3"/>
    <mergeCell ref="B4:D4"/>
    <mergeCell ref="B5:D5"/>
    <mergeCell ref="B6:D6"/>
    <mergeCell ref="B7:D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pane xSplit="0" ySplit="1" topLeftCell="A2" activePane="bottomLeft" state="frozen"/>
      <selection pane="topLeft" activeCell="C1" activeCellId="0" sqref="C1"/>
      <selection pane="bottomLeft" activeCell="O37" activeCellId="0" sqref="O37"/>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24"/>
    <col collapsed="false" customWidth="true" hidden="false" outlineLevel="0" max="4" min="4" style="1" width="34"/>
    <col collapsed="false" customWidth="true" hidden="false" outlineLevel="0" max="5" min="5" style="1" width="8"/>
    <col collapsed="false" customWidth="true" hidden="false" outlineLevel="0" max="6" min="6" style="1" width="60"/>
    <col collapsed="false" customWidth="true" hidden="false" outlineLevel="0" max="7" min="7" style="1" width="8"/>
    <col collapsed="false" customWidth="true" hidden="false" outlineLevel="0" max="9" min="8" style="1" width="9"/>
    <col collapsed="false" customWidth="true" hidden="false" outlineLevel="0" max="10" min="10" style="1" width="34"/>
    <col collapsed="false" customWidth="true" hidden="false" outlineLevel="0" max="11" min="11" style="1" width="40"/>
    <col collapsed="false" customWidth="true" hidden="false" outlineLevel="0" max="12" min="12" style="1" width="34"/>
    <col collapsed="false" customWidth="true" hidden="false" outlineLevel="0" max="13" min="13" style="1" width="22"/>
    <col collapsed="false" customWidth="true" hidden="false" outlineLevel="0" max="14" min="14" style="1" width="50"/>
    <col collapsed="false" customWidth="true" hidden="false" outlineLevel="0" max="15" min="15" style="1" width="60"/>
    <col collapsed="false" customWidth="true" hidden="false" outlineLevel="0" max="16" min="16" style="1" width="26"/>
    <col collapsed="false" customWidth="true" hidden="false" outlineLevel="0" max="17" min="17" style="1" width="7"/>
  </cols>
  <sheetData>
    <row r="1" customFormat="false" ht="35.05" hidden="false" customHeight="false" outlineLevel="0" collapsed="false">
      <c r="A1" s="9" t="s">
        <v>135</v>
      </c>
      <c r="B1" s="9" t="s">
        <v>136</v>
      </c>
      <c r="C1" s="9" t="s">
        <v>26</v>
      </c>
      <c r="D1" s="9" t="s">
        <v>137</v>
      </c>
      <c r="E1" s="9" t="s">
        <v>138</v>
      </c>
      <c r="F1" s="9" t="s">
        <v>139</v>
      </c>
      <c r="G1" s="9" t="s">
        <v>140</v>
      </c>
      <c r="H1" s="9" t="s">
        <v>28</v>
      </c>
      <c r="I1" s="9" t="s">
        <v>141</v>
      </c>
      <c r="J1" s="9" t="s">
        <v>30</v>
      </c>
      <c r="K1" s="9" t="s">
        <v>32</v>
      </c>
      <c r="L1" s="9" t="s">
        <v>34</v>
      </c>
      <c r="M1" s="9" t="s">
        <v>36</v>
      </c>
      <c r="N1" s="9" t="s">
        <v>142</v>
      </c>
      <c r="O1" s="9" t="s">
        <v>38</v>
      </c>
      <c r="P1" s="9" t="s">
        <v>143</v>
      </c>
      <c r="Q1" s="9" t="s">
        <v>144</v>
      </c>
    </row>
    <row r="2" customFormat="false" ht="23.85" hidden="false" customHeight="false" outlineLevel="0" collapsed="false">
      <c r="A2" s="10" t="n">
        <v>1</v>
      </c>
      <c r="B2" s="10" t="s">
        <v>58</v>
      </c>
      <c r="C2" s="3" t="s">
        <v>145</v>
      </c>
      <c r="D2" s="3" t="s">
        <v>146</v>
      </c>
      <c r="E2" s="10" t="s">
        <v>147</v>
      </c>
      <c r="F2" s="3" t="s">
        <v>148</v>
      </c>
      <c r="G2" s="10" t="n">
        <f aca="false">LEN(F2)</f>
        <v>37</v>
      </c>
      <c r="H2" s="10" t="n">
        <v>1</v>
      </c>
      <c r="I2" s="10" t="n">
        <f aca="false">ROUND(G2/About!$B$16,1)</f>
        <v>1.2</v>
      </c>
      <c r="J2" s="3" t="s">
        <v>149</v>
      </c>
      <c r="K2" s="3" t="s">
        <v>150</v>
      </c>
      <c r="L2" s="3" t="s">
        <v>151</v>
      </c>
      <c r="M2" s="10"/>
      <c r="N2" s="3"/>
      <c r="O2" s="3"/>
      <c r="P2" s="10" t="s">
        <v>152</v>
      </c>
      <c r="Q2" s="10" t="n">
        <v>277</v>
      </c>
    </row>
    <row r="3" customFormat="false" ht="23.85" hidden="false" customHeight="false" outlineLevel="0" collapsed="false">
      <c r="A3" s="10" t="n">
        <v>2</v>
      </c>
      <c r="B3" s="10" t="s">
        <v>58</v>
      </c>
      <c r="C3" s="3" t="s">
        <v>145</v>
      </c>
      <c r="D3" s="3" t="s">
        <v>146</v>
      </c>
      <c r="E3" s="10" t="s">
        <v>153</v>
      </c>
      <c r="F3" s="3" t="s">
        <v>154</v>
      </c>
      <c r="G3" s="10" t="n">
        <f aca="false">LEN(F3)</f>
        <v>21</v>
      </c>
      <c r="H3" s="10" t="n">
        <v>1</v>
      </c>
      <c r="I3" s="10" t="n">
        <f aca="false">ROUND(G3/About!$B$16,1)</f>
        <v>0.7</v>
      </c>
      <c r="J3" s="3" t="s">
        <v>149</v>
      </c>
      <c r="K3" s="3" t="s">
        <v>155</v>
      </c>
      <c r="L3" s="3" t="s">
        <v>156</v>
      </c>
      <c r="M3" s="10"/>
      <c r="N3" s="3"/>
      <c r="O3" s="3"/>
      <c r="P3" s="10" t="s">
        <v>152</v>
      </c>
      <c r="Q3" s="10" t="n">
        <v>278</v>
      </c>
    </row>
    <row r="4" customFormat="false" ht="23.85" hidden="false" customHeight="false" outlineLevel="0" collapsed="false">
      <c r="A4" s="10" t="n">
        <v>3</v>
      </c>
      <c r="B4" s="10" t="s">
        <v>58</v>
      </c>
      <c r="C4" s="3" t="s">
        <v>157</v>
      </c>
      <c r="D4" s="3" t="s">
        <v>158</v>
      </c>
      <c r="E4" s="10" t="s">
        <v>159</v>
      </c>
      <c r="F4" s="3" t="s">
        <v>160</v>
      </c>
      <c r="G4" s="10" t="n">
        <f aca="false">LEN(F4)</f>
        <v>61</v>
      </c>
      <c r="H4" s="10" t="n">
        <v>2</v>
      </c>
      <c r="I4" s="10" t="n">
        <f aca="false">ROUND(G4/About!$B$16,1)</f>
        <v>2</v>
      </c>
      <c r="J4" s="3" t="s">
        <v>161</v>
      </c>
      <c r="K4" s="3" t="s">
        <v>162</v>
      </c>
      <c r="L4" s="3" t="s">
        <v>163</v>
      </c>
      <c r="M4" s="10"/>
      <c r="N4" s="3"/>
      <c r="O4" s="3"/>
      <c r="P4" s="10" t="s">
        <v>152</v>
      </c>
      <c r="Q4" s="10" t="n">
        <v>281</v>
      </c>
    </row>
    <row r="5" customFormat="false" ht="35.05" hidden="false" customHeight="false" outlineLevel="0" collapsed="false">
      <c r="A5" s="10" t="n">
        <v>4</v>
      </c>
      <c r="B5" s="10" t="s">
        <v>58</v>
      </c>
      <c r="C5" s="3" t="s">
        <v>164</v>
      </c>
      <c r="D5" s="3" t="s">
        <v>165</v>
      </c>
      <c r="E5" s="10" t="s">
        <v>159</v>
      </c>
      <c r="F5" s="3" t="s">
        <v>166</v>
      </c>
      <c r="G5" s="10" t="n">
        <f aca="false">LEN(F5)</f>
        <v>71</v>
      </c>
      <c r="H5" s="10" t="n">
        <v>2</v>
      </c>
      <c r="I5" s="10" t="n">
        <f aca="false">ROUND(G5/About!$B$16,1)</f>
        <v>2.4</v>
      </c>
      <c r="J5" s="3" t="s">
        <v>167</v>
      </c>
      <c r="K5" s="3" t="s">
        <v>168</v>
      </c>
      <c r="L5" s="3" t="s">
        <v>169</v>
      </c>
      <c r="M5" s="11" t="s">
        <v>11</v>
      </c>
      <c r="N5" s="3" t="s">
        <v>170</v>
      </c>
      <c r="O5" s="3" t="s">
        <v>171</v>
      </c>
      <c r="P5" s="10" t="s">
        <v>152</v>
      </c>
      <c r="Q5" s="10" t="n">
        <v>284</v>
      </c>
    </row>
    <row r="6" customFormat="false" ht="23.85" hidden="false" customHeight="false" outlineLevel="0" collapsed="false">
      <c r="A6" s="10" t="n">
        <v>5</v>
      </c>
      <c r="B6" s="10" t="s">
        <v>58</v>
      </c>
      <c r="C6" s="3" t="s">
        <v>172</v>
      </c>
      <c r="D6" s="3" t="s">
        <v>173</v>
      </c>
      <c r="E6" s="10" t="s">
        <v>174</v>
      </c>
      <c r="F6" s="3" t="s">
        <v>175</v>
      </c>
      <c r="G6" s="10" t="n">
        <f aca="false">LEN(F6)</f>
        <v>30</v>
      </c>
      <c r="H6" s="10" t="n">
        <v>1</v>
      </c>
      <c r="I6" s="10" t="n">
        <f aca="false">ROUND(G6/About!$B$16,1)</f>
        <v>1</v>
      </c>
      <c r="J6" s="3" t="s">
        <v>176</v>
      </c>
      <c r="K6" s="3" t="s">
        <v>150</v>
      </c>
      <c r="L6" s="3" t="s">
        <v>177</v>
      </c>
      <c r="M6" s="10"/>
      <c r="N6" s="3"/>
      <c r="O6" s="3"/>
      <c r="P6" s="10" t="s">
        <v>152</v>
      </c>
      <c r="Q6" s="10" t="n">
        <v>287</v>
      </c>
    </row>
    <row r="7" customFormat="false" ht="23.85" hidden="false" customHeight="false" outlineLevel="0" collapsed="false">
      <c r="A7" s="10" t="n">
        <v>6</v>
      </c>
      <c r="B7" s="10" t="s">
        <v>58</v>
      </c>
      <c r="C7" s="3" t="s">
        <v>172</v>
      </c>
      <c r="D7" s="3" t="s">
        <v>173</v>
      </c>
      <c r="E7" s="10" t="s">
        <v>178</v>
      </c>
      <c r="F7" s="3" t="s">
        <v>179</v>
      </c>
      <c r="G7" s="10" t="n">
        <f aca="false">LEN(F7)</f>
        <v>8</v>
      </c>
      <c r="H7" s="10" t="n">
        <v>1</v>
      </c>
      <c r="I7" s="10" t="n">
        <f aca="false">ROUND(G7/About!$B$16,1)</f>
        <v>0.3</v>
      </c>
      <c r="J7" s="3" t="s">
        <v>176</v>
      </c>
      <c r="K7" s="3" t="s">
        <v>150</v>
      </c>
      <c r="L7" s="3" t="s">
        <v>180</v>
      </c>
      <c r="M7" s="12" t="s">
        <v>12</v>
      </c>
      <c r="N7" s="3" t="s">
        <v>181</v>
      </c>
      <c r="O7" s="3" t="s">
        <v>182</v>
      </c>
      <c r="P7" s="10" t="s">
        <v>152</v>
      </c>
      <c r="Q7" s="10" t="n">
        <v>288</v>
      </c>
    </row>
    <row r="8" customFormat="false" ht="35.05" hidden="false" customHeight="false" outlineLevel="0" collapsed="false">
      <c r="A8" s="10" t="n">
        <v>7</v>
      </c>
      <c r="B8" s="10" t="s">
        <v>58</v>
      </c>
      <c r="C8" s="3" t="s">
        <v>172</v>
      </c>
      <c r="D8" s="3" t="s">
        <v>173</v>
      </c>
      <c r="E8" s="10" t="s">
        <v>183</v>
      </c>
      <c r="F8" s="3" t="s">
        <v>184</v>
      </c>
      <c r="G8" s="10" t="n">
        <f aca="false">LEN(F8)</f>
        <v>24</v>
      </c>
      <c r="H8" s="10" t="n">
        <v>1</v>
      </c>
      <c r="I8" s="10" t="n">
        <f aca="false">ROUND(G8/About!$B$16,1)</f>
        <v>0.8</v>
      </c>
      <c r="J8" s="3" t="s">
        <v>176</v>
      </c>
      <c r="K8" s="3" t="s">
        <v>185</v>
      </c>
      <c r="L8" s="3" t="s">
        <v>186</v>
      </c>
      <c r="M8" s="12" t="s">
        <v>12</v>
      </c>
      <c r="N8" s="3" t="s">
        <v>187</v>
      </c>
      <c r="O8" s="3" t="s">
        <v>188</v>
      </c>
      <c r="P8" s="10" t="s">
        <v>152</v>
      </c>
      <c r="Q8" s="10" t="n">
        <v>289</v>
      </c>
    </row>
    <row r="9" customFormat="false" ht="15" hidden="false" customHeight="false" outlineLevel="0" collapsed="false">
      <c r="A9" s="10" t="n">
        <v>8</v>
      </c>
      <c r="B9" s="10" t="s">
        <v>58</v>
      </c>
      <c r="C9" s="3" t="s">
        <v>189</v>
      </c>
      <c r="D9" s="3" t="s">
        <v>190</v>
      </c>
      <c r="E9" s="10" t="s">
        <v>159</v>
      </c>
      <c r="F9" s="3" t="s">
        <v>191</v>
      </c>
      <c r="G9" s="10" t="n">
        <f aca="false">LEN(F9)</f>
        <v>43</v>
      </c>
      <c r="H9" s="10" t="n">
        <v>1</v>
      </c>
      <c r="I9" s="10" t="n">
        <f aca="false">ROUND(G9/About!$B$16,1)</f>
        <v>1.4</v>
      </c>
      <c r="J9" s="3" t="s">
        <v>192</v>
      </c>
      <c r="K9" s="3" t="s">
        <v>193</v>
      </c>
      <c r="L9" s="3" t="s">
        <v>194</v>
      </c>
      <c r="M9" s="10"/>
      <c r="N9" s="3"/>
      <c r="O9" s="3"/>
      <c r="P9" s="10" t="s">
        <v>152</v>
      </c>
      <c r="Q9" s="10" t="n">
        <v>292</v>
      </c>
    </row>
    <row r="10" customFormat="false" ht="15" hidden="false" customHeight="false" outlineLevel="0" collapsed="false">
      <c r="A10" s="10" t="n">
        <v>9</v>
      </c>
      <c r="B10" s="10" t="s">
        <v>58</v>
      </c>
      <c r="C10" s="3" t="s">
        <v>195</v>
      </c>
      <c r="D10" s="3" t="s">
        <v>196</v>
      </c>
      <c r="E10" s="10" t="s">
        <v>159</v>
      </c>
      <c r="F10" s="3" t="s">
        <v>197</v>
      </c>
      <c r="G10" s="10" t="n">
        <f aca="false">LEN(F10)</f>
        <v>59</v>
      </c>
      <c r="H10" s="10" t="n">
        <v>2</v>
      </c>
      <c r="I10" s="10" t="n">
        <f aca="false">ROUND(G10/About!$B$16,1)</f>
        <v>2</v>
      </c>
      <c r="J10" s="3" t="s">
        <v>198</v>
      </c>
      <c r="K10" s="3" t="s">
        <v>199</v>
      </c>
      <c r="L10" s="3" t="s">
        <v>194</v>
      </c>
      <c r="M10" s="10"/>
      <c r="N10" s="3"/>
      <c r="O10" s="3"/>
      <c r="P10" s="10" t="s">
        <v>152</v>
      </c>
      <c r="Q10" s="10" t="n">
        <v>295</v>
      </c>
    </row>
    <row r="11" customFormat="false" ht="23.85" hidden="false" customHeight="false" outlineLevel="0" collapsed="false">
      <c r="A11" s="10" t="n">
        <v>10</v>
      </c>
      <c r="B11" s="10" t="s">
        <v>58</v>
      </c>
      <c r="C11" s="3" t="s">
        <v>200</v>
      </c>
      <c r="D11" s="3" t="s">
        <v>201</v>
      </c>
      <c r="E11" s="10" t="s">
        <v>147</v>
      </c>
      <c r="F11" s="3" t="s">
        <v>202</v>
      </c>
      <c r="G11" s="10" t="n">
        <f aca="false">LEN(F11)</f>
        <v>51</v>
      </c>
      <c r="H11" s="10" t="n">
        <v>2</v>
      </c>
      <c r="I11" s="10" t="n">
        <f aca="false">ROUND(G11/About!$B$16,1)</f>
        <v>1.7</v>
      </c>
      <c r="J11" s="3" t="s">
        <v>203</v>
      </c>
      <c r="K11" s="3" t="s">
        <v>150</v>
      </c>
      <c r="L11" s="3" t="s">
        <v>204</v>
      </c>
      <c r="M11" s="12" t="s">
        <v>12</v>
      </c>
      <c r="N11" s="3" t="s">
        <v>205</v>
      </c>
      <c r="O11" s="3" t="s">
        <v>206</v>
      </c>
      <c r="P11" s="10" t="s">
        <v>152</v>
      </c>
      <c r="Q11" s="10" t="n">
        <v>298</v>
      </c>
    </row>
    <row r="12" customFormat="false" ht="23.85" hidden="false" customHeight="false" outlineLevel="0" collapsed="false">
      <c r="A12" s="10" t="n">
        <v>11</v>
      </c>
      <c r="B12" s="10" t="s">
        <v>58</v>
      </c>
      <c r="C12" s="3" t="s">
        <v>200</v>
      </c>
      <c r="D12" s="3" t="s">
        <v>201</v>
      </c>
      <c r="E12" s="10" t="s">
        <v>153</v>
      </c>
      <c r="F12" s="3" t="s">
        <v>207</v>
      </c>
      <c r="G12" s="10" t="n">
        <f aca="false">LEN(F12)</f>
        <v>57</v>
      </c>
      <c r="H12" s="10" t="n">
        <v>2</v>
      </c>
      <c r="I12" s="10" t="n">
        <f aca="false">ROUND(G12/About!$B$16,1)</f>
        <v>1.9</v>
      </c>
      <c r="J12" s="3" t="s">
        <v>203</v>
      </c>
      <c r="K12" s="3" t="s">
        <v>208</v>
      </c>
      <c r="L12" s="3" t="s">
        <v>209</v>
      </c>
      <c r="M12" s="10"/>
      <c r="N12" s="3"/>
      <c r="O12" s="3"/>
      <c r="P12" s="10" t="s">
        <v>152</v>
      </c>
      <c r="Q12" s="10" t="n">
        <v>299</v>
      </c>
    </row>
    <row r="13" customFormat="false" ht="23.85" hidden="false" customHeight="false" outlineLevel="0" collapsed="false">
      <c r="A13" s="10" t="n">
        <v>12</v>
      </c>
      <c r="B13" s="10" t="s">
        <v>58</v>
      </c>
      <c r="C13" s="3" t="s">
        <v>210</v>
      </c>
      <c r="D13" s="3" t="s">
        <v>211</v>
      </c>
      <c r="E13" s="10" t="s">
        <v>159</v>
      </c>
      <c r="F13" s="3" t="s">
        <v>212</v>
      </c>
      <c r="G13" s="10" t="n">
        <f aca="false">LEN(F13)</f>
        <v>60</v>
      </c>
      <c r="H13" s="10" t="n">
        <v>2</v>
      </c>
      <c r="I13" s="10" t="n">
        <f aca="false">ROUND(G13/About!$B$16,1)</f>
        <v>2</v>
      </c>
      <c r="J13" s="3" t="s">
        <v>213</v>
      </c>
      <c r="K13" s="3" t="s">
        <v>214</v>
      </c>
      <c r="L13" s="3" t="s">
        <v>215</v>
      </c>
      <c r="M13" s="10"/>
      <c r="N13" s="3"/>
      <c r="O13" s="3"/>
      <c r="P13" s="10" t="s">
        <v>152</v>
      </c>
      <c r="Q13" s="10" t="n">
        <v>302</v>
      </c>
    </row>
    <row r="14" customFormat="false" ht="23.85" hidden="false" customHeight="false" outlineLevel="0" collapsed="false">
      <c r="A14" s="10" t="n">
        <v>13</v>
      </c>
      <c r="B14" s="10" t="s">
        <v>59</v>
      </c>
      <c r="C14" s="3" t="s">
        <v>216</v>
      </c>
      <c r="D14" s="3" t="s">
        <v>217</v>
      </c>
      <c r="E14" s="10" t="s">
        <v>147</v>
      </c>
      <c r="F14" s="3" t="s">
        <v>218</v>
      </c>
      <c r="G14" s="10" t="n">
        <f aca="false">LEN(F14)</f>
        <v>44</v>
      </c>
      <c r="H14" s="10" t="n">
        <v>1</v>
      </c>
      <c r="I14" s="10" t="n">
        <f aca="false">ROUND(G14/About!$B$16,1)</f>
        <v>1.5</v>
      </c>
      <c r="J14" s="3" t="s">
        <v>219</v>
      </c>
      <c r="K14" s="3" t="s">
        <v>150</v>
      </c>
      <c r="L14" s="3" t="s">
        <v>220</v>
      </c>
      <c r="M14" s="10"/>
      <c r="N14" s="3"/>
      <c r="O14" s="3"/>
      <c r="P14" s="10" t="s">
        <v>152</v>
      </c>
      <c r="Q14" s="10" t="n">
        <v>305</v>
      </c>
    </row>
    <row r="15" customFormat="false" ht="23.85" hidden="false" customHeight="false" outlineLevel="0" collapsed="false">
      <c r="A15" s="10" t="n">
        <v>14</v>
      </c>
      <c r="B15" s="10" t="s">
        <v>59</v>
      </c>
      <c r="C15" s="3" t="s">
        <v>216</v>
      </c>
      <c r="D15" s="3" t="s">
        <v>217</v>
      </c>
      <c r="E15" s="10" t="s">
        <v>153</v>
      </c>
      <c r="F15" s="3" t="s">
        <v>221</v>
      </c>
      <c r="G15" s="10" t="n">
        <f aca="false">LEN(F15)</f>
        <v>78</v>
      </c>
      <c r="H15" s="10" t="n">
        <v>2</v>
      </c>
      <c r="I15" s="10" t="n">
        <f aca="false">ROUND(G15/About!$B$16,1)</f>
        <v>2.6</v>
      </c>
      <c r="J15" s="3" t="s">
        <v>219</v>
      </c>
      <c r="K15" s="3" t="s">
        <v>222</v>
      </c>
      <c r="L15" s="3" t="s">
        <v>223</v>
      </c>
      <c r="M15" s="11" t="s">
        <v>11</v>
      </c>
      <c r="N15" s="3" t="s">
        <v>224</v>
      </c>
      <c r="O15" s="3" t="s">
        <v>225</v>
      </c>
      <c r="P15" s="10" t="s">
        <v>152</v>
      </c>
      <c r="Q15" s="10" t="n">
        <v>306</v>
      </c>
    </row>
    <row r="16" customFormat="false" ht="23.85" hidden="false" customHeight="false" outlineLevel="0" collapsed="false">
      <c r="A16" s="10" t="n">
        <v>15</v>
      </c>
      <c r="B16" s="10" t="s">
        <v>58</v>
      </c>
      <c r="C16" s="3" t="s">
        <v>226</v>
      </c>
      <c r="D16" s="3" t="s">
        <v>227</v>
      </c>
      <c r="E16" s="10" t="s">
        <v>159</v>
      </c>
      <c r="F16" s="3" t="s">
        <v>228</v>
      </c>
      <c r="G16" s="10" t="n">
        <f aca="false">LEN(F16)</f>
        <v>59</v>
      </c>
      <c r="H16" s="10" t="n">
        <v>2</v>
      </c>
      <c r="I16" s="10" t="n">
        <f aca="false">ROUND(G16/About!$B$16,1)</f>
        <v>2</v>
      </c>
      <c r="J16" s="3" t="s">
        <v>229</v>
      </c>
      <c r="K16" s="3" t="s">
        <v>230</v>
      </c>
      <c r="L16" s="3" t="s">
        <v>231</v>
      </c>
      <c r="M16" s="10"/>
      <c r="N16" s="3"/>
      <c r="O16" s="3"/>
      <c r="P16" s="10" t="s">
        <v>152</v>
      </c>
      <c r="Q16" s="10" t="n">
        <v>309</v>
      </c>
    </row>
    <row r="17" customFormat="false" ht="23.85" hidden="false" customHeight="false" outlineLevel="0" collapsed="false">
      <c r="A17" s="10" t="n">
        <v>16</v>
      </c>
      <c r="B17" s="10" t="s">
        <v>58</v>
      </c>
      <c r="C17" s="3" t="s">
        <v>232</v>
      </c>
      <c r="D17" s="3" t="s">
        <v>233</v>
      </c>
      <c r="E17" s="10" t="s">
        <v>159</v>
      </c>
      <c r="F17" s="3" t="s">
        <v>234</v>
      </c>
      <c r="G17" s="10" t="n">
        <f aca="false">LEN(F17)</f>
        <v>74</v>
      </c>
      <c r="H17" s="10" t="n">
        <v>2</v>
      </c>
      <c r="I17" s="10" t="n">
        <f aca="false">ROUND(G17/About!$B$16,1)</f>
        <v>2.5</v>
      </c>
      <c r="J17" s="3" t="s">
        <v>235</v>
      </c>
      <c r="K17" s="3" t="s">
        <v>236</v>
      </c>
      <c r="L17" s="3" t="s">
        <v>231</v>
      </c>
      <c r="M17" s="12" t="s">
        <v>12</v>
      </c>
      <c r="N17" s="3" t="s">
        <v>237</v>
      </c>
      <c r="O17" s="3" t="s">
        <v>238</v>
      </c>
      <c r="P17" s="10" t="s">
        <v>152</v>
      </c>
      <c r="Q17" s="10" t="n">
        <v>312</v>
      </c>
    </row>
    <row r="18" customFormat="false" ht="23.85" hidden="false" customHeight="false" outlineLevel="0" collapsed="false">
      <c r="A18" s="10" t="n">
        <v>17</v>
      </c>
      <c r="B18" s="10" t="s">
        <v>60</v>
      </c>
      <c r="C18" s="3" t="s">
        <v>239</v>
      </c>
      <c r="D18" s="3" t="s">
        <v>240</v>
      </c>
      <c r="E18" s="10" t="s">
        <v>147</v>
      </c>
      <c r="F18" s="3" t="s">
        <v>241</v>
      </c>
      <c r="G18" s="10" t="n">
        <f aca="false">LEN(F18)</f>
        <v>27</v>
      </c>
      <c r="H18" s="10" t="n">
        <v>1</v>
      </c>
      <c r="I18" s="10" t="n">
        <f aca="false">ROUND(G18/About!$B$16,1)</f>
        <v>0.9</v>
      </c>
      <c r="J18" s="3" t="s">
        <v>242</v>
      </c>
      <c r="K18" s="3" t="s">
        <v>150</v>
      </c>
      <c r="L18" s="3" t="s">
        <v>243</v>
      </c>
      <c r="M18" s="10"/>
      <c r="N18" s="3"/>
      <c r="O18" s="3"/>
      <c r="P18" s="10" t="s">
        <v>152</v>
      </c>
      <c r="Q18" s="10" t="n">
        <v>315</v>
      </c>
    </row>
    <row r="19" customFormat="false" ht="23.85" hidden="false" customHeight="false" outlineLevel="0" collapsed="false">
      <c r="A19" s="10" t="n">
        <v>18</v>
      </c>
      <c r="B19" s="10" t="s">
        <v>60</v>
      </c>
      <c r="C19" s="3" t="s">
        <v>239</v>
      </c>
      <c r="D19" s="3" t="s">
        <v>240</v>
      </c>
      <c r="E19" s="10" t="s">
        <v>153</v>
      </c>
      <c r="F19" s="3" t="s">
        <v>244</v>
      </c>
      <c r="G19" s="10" t="n">
        <f aca="false">LEN(F19)</f>
        <v>77</v>
      </c>
      <c r="H19" s="10" t="n">
        <v>2</v>
      </c>
      <c r="I19" s="10" t="n">
        <f aca="false">ROUND(G19/About!$B$16,1)</f>
        <v>2.6</v>
      </c>
      <c r="J19" s="3" t="s">
        <v>242</v>
      </c>
      <c r="K19" s="3" t="s">
        <v>245</v>
      </c>
      <c r="L19" s="3" t="s">
        <v>246</v>
      </c>
      <c r="M19" s="10"/>
      <c r="N19" s="3"/>
      <c r="O19" s="3"/>
      <c r="P19" s="10" t="s">
        <v>152</v>
      </c>
      <c r="Q19" s="10" t="n">
        <v>316</v>
      </c>
    </row>
    <row r="20" customFormat="false" ht="23.85" hidden="false" customHeight="false" outlineLevel="0" collapsed="false">
      <c r="A20" s="10" t="n">
        <v>19</v>
      </c>
      <c r="B20" s="10" t="s">
        <v>59</v>
      </c>
      <c r="C20" s="3" t="s">
        <v>247</v>
      </c>
      <c r="D20" s="3" t="s">
        <v>248</v>
      </c>
      <c r="E20" s="10" t="s">
        <v>174</v>
      </c>
      <c r="F20" s="3" t="s">
        <v>249</v>
      </c>
      <c r="G20" s="10" t="n">
        <f aca="false">LEN(F20)</f>
        <v>50</v>
      </c>
      <c r="H20" s="10" t="n">
        <v>2</v>
      </c>
      <c r="I20" s="10" t="n">
        <f aca="false">ROUND(G20/About!$B$16,1)</f>
        <v>1.7</v>
      </c>
      <c r="J20" s="3" t="s">
        <v>250</v>
      </c>
      <c r="K20" s="3" t="s">
        <v>251</v>
      </c>
      <c r="L20" s="3" t="s">
        <v>252</v>
      </c>
      <c r="M20" s="12" t="s">
        <v>12</v>
      </c>
      <c r="N20" s="3"/>
      <c r="O20" s="3" t="s">
        <v>253</v>
      </c>
      <c r="P20" s="10" t="s">
        <v>152</v>
      </c>
      <c r="Q20" s="10" t="n">
        <v>319</v>
      </c>
    </row>
    <row r="21" customFormat="false" ht="35.05" hidden="false" customHeight="false" outlineLevel="0" collapsed="false">
      <c r="A21" s="10" t="n">
        <v>20</v>
      </c>
      <c r="B21" s="10" t="s">
        <v>59</v>
      </c>
      <c r="C21" s="3" t="s">
        <v>247</v>
      </c>
      <c r="D21" s="3" t="s">
        <v>248</v>
      </c>
      <c r="E21" s="10" t="s">
        <v>178</v>
      </c>
      <c r="F21" s="3" t="s">
        <v>254</v>
      </c>
      <c r="G21" s="10" t="n">
        <f aca="false">LEN(F21)</f>
        <v>135</v>
      </c>
      <c r="H21" s="10" t="n">
        <v>4</v>
      </c>
      <c r="I21" s="10" t="n">
        <f aca="false">ROUND(G21/About!$B$16,1)</f>
        <v>4.5</v>
      </c>
      <c r="J21" s="3" t="s">
        <v>250</v>
      </c>
      <c r="K21" s="3" t="s">
        <v>255</v>
      </c>
      <c r="L21" s="3" t="s">
        <v>256</v>
      </c>
      <c r="M21" s="12" t="s">
        <v>12</v>
      </c>
      <c r="N21" s="3" t="s">
        <v>257</v>
      </c>
      <c r="O21" s="3" t="s">
        <v>258</v>
      </c>
      <c r="P21" s="10" t="s">
        <v>152</v>
      </c>
      <c r="Q21" s="10" t="n">
        <v>320</v>
      </c>
    </row>
    <row r="22" customFormat="false" ht="23.85" hidden="false" customHeight="false" outlineLevel="0" collapsed="false">
      <c r="A22" s="10" t="n">
        <v>21</v>
      </c>
      <c r="B22" s="10" t="s">
        <v>59</v>
      </c>
      <c r="C22" s="3" t="s">
        <v>247</v>
      </c>
      <c r="D22" s="3" t="s">
        <v>248</v>
      </c>
      <c r="E22" s="10" t="s">
        <v>183</v>
      </c>
      <c r="F22" s="3" t="s">
        <v>259</v>
      </c>
      <c r="G22" s="10" t="n">
        <f aca="false">LEN(F22)</f>
        <v>105</v>
      </c>
      <c r="H22" s="10" t="n">
        <v>3</v>
      </c>
      <c r="I22" s="10" t="n">
        <f aca="false">ROUND(G22/About!$B$16,1)</f>
        <v>3.5</v>
      </c>
      <c r="J22" s="3" t="s">
        <v>250</v>
      </c>
      <c r="K22" s="3" t="s">
        <v>260</v>
      </c>
      <c r="L22" s="3" t="s">
        <v>261</v>
      </c>
      <c r="M22" s="12" t="s">
        <v>12</v>
      </c>
      <c r="N22" s="3" t="s">
        <v>262</v>
      </c>
      <c r="O22" s="3" t="s">
        <v>263</v>
      </c>
      <c r="P22" s="10" t="s">
        <v>152</v>
      </c>
      <c r="Q22" s="10" t="n">
        <v>321</v>
      </c>
    </row>
    <row r="23" customFormat="false" ht="23.85" hidden="false" customHeight="false" outlineLevel="0" collapsed="false">
      <c r="A23" s="10" t="n">
        <v>22</v>
      </c>
      <c r="B23" s="10" t="s">
        <v>60</v>
      </c>
      <c r="C23" s="3" t="s">
        <v>264</v>
      </c>
      <c r="D23" s="3" t="s">
        <v>265</v>
      </c>
      <c r="E23" s="10" t="s">
        <v>174</v>
      </c>
      <c r="F23" s="3" t="s">
        <v>266</v>
      </c>
      <c r="G23" s="10" t="n">
        <f aca="false">LEN(F23)</f>
        <v>47</v>
      </c>
      <c r="H23" s="10" t="n">
        <v>2</v>
      </c>
      <c r="I23" s="10" t="n">
        <f aca="false">ROUND(G23/About!$B$16,1)</f>
        <v>1.6</v>
      </c>
      <c r="J23" s="3" t="s">
        <v>267</v>
      </c>
      <c r="K23" s="3" t="s">
        <v>268</v>
      </c>
      <c r="L23" s="3" t="s">
        <v>269</v>
      </c>
      <c r="M23" s="10"/>
      <c r="N23" s="3"/>
      <c r="O23" s="3"/>
      <c r="P23" s="10" t="s">
        <v>152</v>
      </c>
      <c r="Q23" s="10" t="n">
        <v>324</v>
      </c>
    </row>
    <row r="24" customFormat="false" ht="23.85" hidden="false" customHeight="false" outlineLevel="0" collapsed="false">
      <c r="A24" s="10" t="n">
        <v>23</v>
      </c>
      <c r="B24" s="10" t="s">
        <v>60</v>
      </c>
      <c r="C24" s="3" t="s">
        <v>264</v>
      </c>
      <c r="D24" s="3" t="s">
        <v>265</v>
      </c>
      <c r="E24" s="10" t="s">
        <v>178</v>
      </c>
      <c r="F24" s="3" t="s">
        <v>270</v>
      </c>
      <c r="G24" s="10" t="n">
        <f aca="false">LEN(F24)</f>
        <v>59</v>
      </c>
      <c r="H24" s="10" t="n">
        <v>2</v>
      </c>
      <c r="I24" s="10" t="n">
        <f aca="false">ROUND(G24/About!$B$16,1)</f>
        <v>2</v>
      </c>
      <c r="J24" s="3" t="s">
        <v>267</v>
      </c>
      <c r="K24" s="3" t="s">
        <v>271</v>
      </c>
      <c r="L24" s="3" t="s">
        <v>272</v>
      </c>
      <c r="M24" s="12" t="s">
        <v>12</v>
      </c>
      <c r="N24" s="3" t="s">
        <v>273</v>
      </c>
      <c r="O24" s="3" t="s">
        <v>274</v>
      </c>
      <c r="P24" s="10" t="s">
        <v>152</v>
      </c>
      <c r="Q24" s="10" t="n">
        <v>325</v>
      </c>
    </row>
    <row r="25" customFormat="false" ht="23.85" hidden="false" customHeight="false" outlineLevel="0" collapsed="false">
      <c r="A25" s="10" t="n">
        <v>24</v>
      </c>
      <c r="B25" s="10" t="s">
        <v>60</v>
      </c>
      <c r="C25" s="3" t="s">
        <v>264</v>
      </c>
      <c r="D25" s="3" t="s">
        <v>265</v>
      </c>
      <c r="E25" s="10" t="s">
        <v>183</v>
      </c>
      <c r="F25" s="3" t="s">
        <v>275</v>
      </c>
      <c r="G25" s="10" t="n">
        <f aca="false">LEN(F25)</f>
        <v>80</v>
      </c>
      <c r="H25" s="10" t="n">
        <v>2</v>
      </c>
      <c r="I25" s="10" t="n">
        <f aca="false">ROUND(G25/About!$B$16,1)</f>
        <v>2.7</v>
      </c>
      <c r="J25" s="3" t="s">
        <v>267</v>
      </c>
      <c r="K25" s="3" t="s">
        <v>276</v>
      </c>
      <c r="L25" s="3" t="s">
        <v>277</v>
      </c>
      <c r="M25" s="12" t="s">
        <v>12</v>
      </c>
      <c r="N25" s="3" t="s">
        <v>278</v>
      </c>
      <c r="O25" s="3" t="s">
        <v>279</v>
      </c>
      <c r="P25" s="10" t="s">
        <v>152</v>
      </c>
      <c r="Q25" s="10" t="n">
        <v>326</v>
      </c>
    </row>
    <row r="26" customFormat="false" ht="23.85" hidden="false" customHeight="false" outlineLevel="0" collapsed="false">
      <c r="A26" s="10" t="n">
        <v>25</v>
      </c>
      <c r="B26" s="10" t="s">
        <v>60</v>
      </c>
      <c r="C26" s="3" t="s">
        <v>280</v>
      </c>
      <c r="D26" s="3" t="s">
        <v>281</v>
      </c>
      <c r="E26" s="10" t="s">
        <v>174</v>
      </c>
      <c r="F26" s="3" t="s">
        <v>282</v>
      </c>
      <c r="G26" s="10" t="n">
        <f aca="false">LEN(F26)</f>
        <v>50</v>
      </c>
      <c r="H26" s="10" t="n">
        <v>2</v>
      </c>
      <c r="I26" s="10" t="n">
        <f aca="false">ROUND(G26/About!$B$16,1)</f>
        <v>1.7</v>
      </c>
      <c r="J26" s="3" t="s">
        <v>283</v>
      </c>
      <c r="K26" s="3" t="s">
        <v>150</v>
      </c>
      <c r="L26" s="3" t="s">
        <v>243</v>
      </c>
      <c r="M26" s="10"/>
      <c r="N26" s="3"/>
      <c r="O26" s="3"/>
      <c r="P26" s="10" t="s">
        <v>152</v>
      </c>
      <c r="Q26" s="10" t="n">
        <v>329</v>
      </c>
    </row>
    <row r="27" customFormat="false" ht="23.85" hidden="false" customHeight="false" outlineLevel="0" collapsed="false">
      <c r="A27" s="10" t="n">
        <v>26</v>
      </c>
      <c r="B27" s="10" t="s">
        <v>60</v>
      </c>
      <c r="C27" s="3" t="s">
        <v>280</v>
      </c>
      <c r="D27" s="3" t="s">
        <v>281</v>
      </c>
      <c r="E27" s="10" t="s">
        <v>178</v>
      </c>
      <c r="F27" s="3" t="s">
        <v>284</v>
      </c>
      <c r="G27" s="10" t="n">
        <f aca="false">LEN(F27)</f>
        <v>42</v>
      </c>
      <c r="H27" s="10" t="n">
        <v>1</v>
      </c>
      <c r="I27" s="10" t="n">
        <f aca="false">ROUND(G27/About!$B$16,1)</f>
        <v>1.4</v>
      </c>
      <c r="J27" s="3" t="s">
        <v>283</v>
      </c>
      <c r="K27" s="3" t="s">
        <v>285</v>
      </c>
      <c r="L27" s="3" t="s">
        <v>286</v>
      </c>
      <c r="M27" s="12" t="s">
        <v>12</v>
      </c>
      <c r="N27" s="3" t="s">
        <v>287</v>
      </c>
      <c r="O27" s="3" t="s">
        <v>288</v>
      </c>
      <c r="P27" s="10" t="s">
        <v>152</v>
      </c>
      <c r="Q27" s="10" t="n">
        <v>330</v>
      </c>
    </row>
    <row r="28" customFormat="false" ht="23.85" hidden="false" customHeight="false" outlineLevel="0" collapsed="false">
      <c r="A28" s="10" t="n">
        <v>27</v>
      </c>
      <c r="B28" s="10" t="s">
        <v>60</v>
      </c>
      <c r="C28" s="3" t="s">
        <v>280</v>
      </c>
      <c r="D28" s="3" t="s">
        <v>281</v>
      </c>
      <c r="E28" s="10" t="s">
        <v>183</v>
      </c>
      <c r="F28" s="3" t="s">
        <v>289</v>
      </c>
      <c r="G28" s="10" t="n">
        <f aca="false">LEN(F28)</f>
        <v>66</v>
      </c>
      <c r="H28" s="10" t="n">
        <v>2</v>
      </c>
      <c r="I28" s="10" t="n">
        <f aca="false">ROUND(G28/About!$B$16,1)</f>
        <v>2.2</v>
      </c>
      <c r="J28" s="3" t="s">
        <v>283</v>
      </c>
      <c r="K28" s="3" t="s">
        <v>290</v>
      </c>
      <c r="L28" s="3" t="s">
        <v>291</v>
      </c>
      <c r="M28" s="10"/>
      <c r="N28" s="3"/>
      <c r="O28" s="3"/>
      <c r="P28" s="10" t="s">
        <v>152</v>
      </c>
      <c r="Q28" s="10" t="n">
        <v>331</v>
      </c>
    </row>
    <row r="29" customFormat="false" ht="23.85" hidden="false" customHeight="false" outlineLevel="0" collapsed="false">
      <c r="A29" s="10" t="n">
        <v>28</v>
      </c>
      <c r="B29" s="10" t="s">
        <v>59</v>
      </c>
      <c r="C29" s="3" t="s">
        <v>292</v>
      </c>
      <c r="D29" s="3" t="s">
        <v>293</v>
      </c>
      <c r="E29" s="10"/>
      <c r="F29" s="3" t="s">
        <v>294</v>
      </c>
      <c r="G29" s="10" t="n">
        <f aca="false">LEN(F29)</f>
        <v>64</v>
      </c>
      <c r="H29" s="10"/>
      <c r="I29" s="10"/>
      <c r="J29" s="3" t="s">
        <v>295</v>
      </c>
      <c r="K29" s="3"/>
      <c r="L29" s="3" t="s">
        <v>296</v>
      </c>
      <c r="M29" s="10"/>
      <c r="N29" s="3"/>
      <c r="O29" s="3" t="s">
        <v>297</v>
      </c>
      <c r="P29" s="10" t="s">
        <v>298</v>
      </c>
      <c r="Q29" s="10" t="n">
        <v>165</v>
      </c>
    </row>
    <row r="30" customFormat="false" ht="23.85" hidden="false" customHeight="false" outlineLevel="0" collapsed="false">
      <c r="A30" s="10" t="n">
        <v>29</v>
      </c>
      <c r="B30" s="10" t="s">
        <v>59</v>
      </c>
      <c r="C30" s="3" t="s">
        <v>292</v>
      </c>
      <c r="D30" s="3" t="s">
        <v>293</v>
      </c>
      <c r="E30" s="10"/>
      <c r="F30" s="3" t="s">
        <v>299</v>
      </c>
      <c r="G30" s="10" t="n">
        <f aca="false">LEN(F30)</f>
        <v>100</v>
      </c>
      <c r="H30" s="10"/>
      <c r="I30" s="10"/>
      <c r="J30" s="3" t="s">
        <v>295</v>
      </c>
      <c r="K30" s="3"/>
      <c r="L30" s="3" t="s">
        <v>300</v>
      </c>
      <c r="M30" s="10"/>
      <c r="N30" s="3"/>
      <c r="O30" s="3" t="s">
        <v>301</v>
      </c>
      <c r="P30" s="10" t="s">
        <v>298</v>
      </c>
      <c r="Q30" s="10" t="n">
        <v>166</v>
      </c>
    </row>
    <row r="31" customFormat="false" ht="23.85" hidden="false" customHeight="false" outlineLevel="0" collapsed="false">
      <c r="A31" s="10" t="n">
        <v>30</v>
      </c>
      <c r="B31" s="10" t="s">
        <v>59</v>
      </c>
      <c r="C31" s="3" t="s">
        <v>302</v>
      </c>
      <c r="D31" s="3" t="s">
        <v>303</v>
      </c>
      <c r="E31" s="10"/>
      <c r="F31" s="3" t="s">
        <v>304</v>
      </c>
      <c r="G31" s="10" t="n">
        <f aca="false">LEN(F31)</f>
        <v>56</v>
      </c>
      <c r="H31" s="10"/>
      <c r="I31" s="10"/>
      <c r="J31" s="3" t="s">
        <v>305</v>
      </c>
      <c r="K31" s="3"/>
      <c r="L31" s="3" t="s">
        <v>306</v>
      </c>
      <c r="M31" s="10"/>
      <c r="N31" s="3"/>
      <c r="O31" s="3" t="s">
        <v>307</v>
      </c>
      <c r="P31" s="10" t="s">
        <v>298</v>
      </c>
      <c r="Q31" s="10" t="n">
        <v>1275</v>
      </c>
    </row>
    <row r="32" customFormat="false" ht="23.85" hidden="false" customHeight="false" outlineLevel="0" collapsed="false">
      <c r="A32" s="10" t="n">
        <v>31</v>
      </c>
      <c r="B32" s="10" t="s">
        <v>59</v>
      </c>
      <c r="C32" s="3" t="s">
        <v>308</v>
      </c>
      <c r="D32" s="3" t="s">
        <v>309</v>
      </c>
      <c r="E32" s="10"/>
      <c r="F32" s="3" t="s">
        <v>310</v>
      </c>
      <c r="G32" s="10" t="n">
        <f aca="false">LEN(F32)</f>
        <v>59</v>
      </c>
      <c r="H32" s="10"/>
      <c r="I32" s="10"/>
      <c r="J32" s="3" t="s">
        <v>305</v>
      </c>
      <c r="K32" s="3"/>
      <c r="L32" s="3" t="s">
        <v>306</v>
      </c>
      <c r="M32" s="10"/>
      <c r="N32" s="3"/>
      <c r="O32" s="3" t="s">
        <v>311</v>
      </c>
      <c r="P32" s="10" t="s">
        <v>298</v>
      </c>
      <c r="Q32" s="10" t="n">
        <v>1278</v>
      </c>
    </row>
    <row r="33" customFormat="false" ht="23.85" hidden="false" customHeight="false" outlineLevel="0" collapsed="false">
      <c r="A33" s="10" t="n">
        <v>32</v>
      </c>
      <c r="B33" s="10" t="s">
        <v>59</v>
      </c>
      <c r="C33" s="3" t="s">
        <v>308</v>
      </c>
      <c r="D33" s="3" t="s">
        <v>309</v>
      </c>
      <c r="E33" s="10"/>
      <c r="F33" s="3" t="s">
        <v>312</v>
      </c>
      <c r="G33" s="10" t="n">
        <f aca="false">LEN(F33)</f>
        <v>36</v>
      </c>
      <c r="H33" s="10"/>
      <c r="I33" s="10"/>
      <c r="J33" s="3" t="s">
        <v>305</v>
      </c>
      <c r="K33" s="3"/>
      <c r="L33" s="3" t="s">
        <v>306</v>
      </c>
      <c r="M33" s="10"/>
      <c r="N33" s="3"/>
      <c r="O33" s="3" t="s">
        <v>313</v>
      </c>
      <c r="P33" s="10" t="s">
        <v>298</v>
      </c>
      <c r="Q33" s="10" t="n">
        <v>1280</v>
      </c>
    </row>
    <row r="34" customFormat="false" ht="35.05" hidden="false" customHeight="false" outlineLevel="0" collapsed="false">
      <c r="A34" s="10" t="n">
        <v>33</v>
      </c>
      <c r="B34" s="10" t="s">
        <v>59</v>
      </c>
      <c r="C34" s="3" t="s">
        <v>314</v>
      </c>
      <c r="D34" s="3" t="s">
        <v>315</v>
      </c>
      <c r="E34" s="10"/>
      <c r="F34" s="3" t="s">
        <v>316</v>
      </c>
      <c r="G34" s="10" t="n">
        <f aca="false">LEN(F34)</f>
        <v>28</v>
      </c>
      <c r="H34" s="10"/>
      <c r="I34" s="10"/>
      <c r="J34" s="3" t="s">
        <v>317</v>
      </c>
      <c r="K34" s="3"/>
      <c r="L34" s="3" t="s">
        <v>318</v>
      </c>
      <c r="M34" s="11" t="s">
        <v>11</v>
      </c>
      <c r="N34" s="3" t="s">
        <v>319</v>
      </c>
      <c r="O34" s="3" t="s">
        <v>320</v>
      </c>
      <c r="P34" s="10" t="s">
        <v>298</v>
      </c>
      <c r="Q34" s="10" t="n">
        <v>1286</v>
      </c>
    </row>
    <row r="35" customFormat="false" ht="23.85" hidden="false" customHeight="false" outlineLevel="0" collapsed="false">
      <c r="A35" s="10" t="n">
        <v>34</v>
      </c>
      <c r="B35" s="10" t="s">
        <v>59</v>
      </c>
      <c r="C35" s="3" t="s">
        <v>321</v>
      </c>
      <c r="D35" s="3" t="s">
        <v>322</v>
      </c>
      <c r="E35" s="10"/>
      <c r="F35" s="3" t="s">
        <v>323</v>
      </c>
      <c r="G35" s="10" t="n">
        <f aca="false">LEN(F35)</f>
        <v>29</v>
      </c>
      <c r="H35" s="10"/>
      <c r="I35" s="10"/>
      <c r="J35" s="3" t="s">
        <v>324</v>
      </c>
      <c r="K35" s="3"/>
      <c r="L35" s="3" t="s">
        <v>325</v>
      </c>
      <c r="M35" s="11" t="s">
        <v>11</v>
      </c>
      <c r="N35" s="3" t="s">
        <v>326</v>
      </c>
      <c r="O35" s="3" t="s">
        <v>327</v>
      </c>
      <c r="P35" s="10" t="s">
        <v>328</v>
      </c>
      <c r="Q35" s="10" t="n">
        <v>86</v>
      </c>
    </row>
    <row r="36" customFormat="false" ht="23.85" hidden="false" customHeight="false" outlineLevel="0" collapsed="false">
      <c r="A36" s="10" t="n">
        <v>35</v>
      </c>
      <c r="B36" s="10" t="s">
        <v>60</v>
      </c>
      <c r="C36" s="3" t="s">
        <v>329</v>
      </c>
      <c r="D36" s="3" t="s">
        <v>330</v>
      </c>
      <c r="E36" s="10"/>
      <c r="F36" s="3" t="s">
        <v>331</v>
      </c>
      <c r="G36" s="10" t="n">
        <f aca="false">LEN(F36)</f>
        <v>20</v>
      </c>
      <c r="H36" s="10"/>
      <c r="I36" s="10"/>
      <c r="J36" s="3" t="s">
        <v>332</v>
      </c>
      <c r="K36" s="3"/>
      <c r="L36" s="3" t="s">
        <v>333</v>
      </c>
      <c r="M36" s="10"/>
      <c r="N36" s="3"/>
      <c r="O36" s="3"/>
      <c r="P36" s="10" t="s">
        <v>298</v>
      </c>
      <c r="Q36" s="10" t="n">
        <v>1539</v>
      </c>
    </row>
    <row r="37" customFormat="false" ht="23.85" hidden="false" customHeight="false" outlineLevel="0" collapsed="false">
      <c r="A37" s="10" t="n">
        <v>36</v>
      </c>
      <c r="B37" s="10" t="s">
        <v>60</v>
      </c>
      <c r="C37" s="3" t="s">
        <v>334</v>
      </c>
      <c r="D37" s="3" t="s">
        <v>335</v>
      </c>
      <c r="E37" s="10"/>
      <c r="F37" s="3" t="s">
        <v>336</v>
      </c>
      <c r="G37" s="10" t="n">
        <f aca="false">LEN(F37)</f>
        <v>19</v>
      </c>
      <c r="H37" s="10"/>
      <c r="I37" s="10"/>
      <c r="J37" s="3" t="s">
        <v>337</v>
      </c>
      <c r="K37" s="3"/>
      <c r="L37" s="3" t="s">
        <v>306</v>
      </c>
      <c r="M37" s="10"/>
      <c r="N37" s="3"/>
      <c r="O37" s="3" t="s">
        <v>338</v>
      </c>
      <c r="P37" s="10" t="s">
        <v>339</v>
      </c>
      <c r="Q37" s="10" t="n">
        <v>33</v>
      </c>
    </row>
    <row r="38" customFormat="false" ht="23.85" hidden="false" customHeight="false" outlineLevel="0" collapsed="false">
      <c r="A38" s="10" t="n">
        <v>37</v>
      </c>
      <c r="B38" s="10" t="s">
        <v>58</v>
      </c>
      <c r="C38" s="3" t="s">
        <v>340</v>
      </c>
      <c r="D38" s="3" t="s">
        <v>341</v>
      </c>
      <c r="E38" s="10"/>
      <c r="F38" s="3" t="s">
        <v>342</v>
      </c>
      <c r="G38" s="10" t="n">
        <f aca="false">LEN(F38)</f>
        <v>10</v>
      </c>
      <c r="H38" s="10"/>
      <c r="I38" s="10"/>
      <c r="J38" s="3" t="s">
        <v>343</v>
      </c>
      <c r="K38" s="3"/>
      <c r="L38" s="3"/>
      <c r="M38" s="10"/>
      <c r="N38" s="3"/>
      <c r="O38" s="3"/>
      <c r="P38" s="10" t="s">
        <v>152</v>
      </c>
      <c r="Q38" s="10" t="n">
        <v>268</v>
      </c>
    </row>
    <row r="39" customFormat="false" ht="15" hidden="false" customHeight="false" outlineLevel="0" collapsed="false">
      <c r="A39" s="10" t="n">
        <v>38</v>
      </c>
      <c r="B39" s="10" t="s">
        <v>59</v>
      </c>
      <c r="C39" s="3" t="s">
        <v>340</v>
      </c>
      <c r="D39" s="3" t="s">
        <v>344</v>
      </c>
      <c r="E39" s="10"/>
      <c r="F39" s="3" t="s">
        <v>59</v>
      </c>
      <c r="G39" s="10" t="n">
        <f aca="false">LEN(F39)</f>
        <v>13</v>
      </c>
      <c r="H39" s="10"/>
      <c r="I39" s="10"/>
      <c r="J39" s="3" t="s">
        <v>343</v>
      </c>
      <c r="K39" s="3"/>
      <c r="L39" s="3"/>
      <c r="M39" s="10"/>
      <c r="N39" s="3"/>
      <c r="O39" s="3"/>
      <c r="P39" s="10" t="s">
        <v>152</v>
      </c>
      <c r="Q39" s="10" t="n">
        <v>318</v>
      </c>
    </row>
    <row r="40" customFormat="false" ht="15" hidden="false" customHeight="false" outlineLevel="0" collapsed="false">
      <c r="A40" s="10" t="n">
        <v>39</v>
      </c>
      <c r="B40" s="10" t="s">
        <v>60</v>
      </c>
      <c r="C40" s="3" t="s">
        <v>340</v>
      </c>
      <c r="D40" s="3" t="s">
        <v>345</v>
      </c>
      <c r="E40" s="10"/>
      <c r="F40" s="3" t="s">
        <v>60</v>
      </c>
      <c r="G40" s="10" t="n">
        <f aca="false">LEN(F40)</f>
        <v>10</v>
      </c>
      <c r="H40" s="10"/>
      <c r="I40" s="10"/>
      <c r="J40" s="3" t="s">
        <v>343</v>
      </c>
      <c r="K40" s="3"/>
      <c r="L40" s="3"/>
      <c r="M40" s="10"/>
      <c r="N40" s="3"/>
      <c r="O40" s="3"/>
      <c r="P40" s="10" t="s">
        <v>152</v>
      </c>
      <c r="Q40" s="10" t="n">
        <v>328</v>
      </c>
    </row>
  </sheetData>
  <autoFilter ref="A1:Q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90"/>
    <col collapsed="false" customWidth="true" hidden="false" outlineLevel="0" max="3" min="3" style="1" width="56"/>
  </cols>
  <sheetData>
    <row r="1" customFormat="false" ht="15" hidden="false" customHeight="false" outlineLevel="0" collapsed="false">
      <c r="A1" s="9" t="s">
        <v>346</v>
      </c>
      <c r="B1" s="9" t="s">
        <v>347</v>
      </c>
      <c r="C1" s="9" t="s">
        <v>348</v>
      </c>
    </row>
    <row r="2" customFormat="false" ht="23.85" hidden="false" customHeight="false" outlineLevel="0" collapsed="false">
      <c r="A2" s="3" t="s">
        <v>349</v>
      </c>
      <c r="B2" s="3" t="s">
        <v>350</v>
      </c>
      <c r="C2" s="3" t="s">
        <v>351</v>
      </c>
    </row>
    <row r="3" customFormat="false" ht="35.05" hidden="false" customHeight="false" outlineLevel="0" collapsed="false">
      <c r="A3" s="3" t="s">
        <v>352</v>
      </c>
      <c r="B3" s="3" t="s">
        <v>353</v>
      </c>
      <c r="C3" s="3" t="s">
        <v>354</v>
      </c>
    </row>
    <row r="4" customFormat="false" ht="35.05" hidden="false" customHeight="false" outlineLevel="0" collapsed="false">
      <c r="A4" s="3" t="s">
        <v>355</v>
      </c>
      <c r="B4" s="3" t="s">
        <v>356</v>
      </c>
      <c r="C4" s="3" t="s">
        <v>357</v>
      </c>
    </row>
    <row r="5" customFormat="false" ht="23.85" hidden="false" customHeight="false" outlineLevel="0" collapsed="false">
      <c r="A5" s="3" t="s">
        <v>358</v>
      </c>
      <c r="B5" s="3" t="s">
        <v>359</v>
      </c>
      <c r="C5" s="3" t="s">
        <v>360</v>
      </c>
    </row>
    <row r="6" customFormat="false" ht="23.85" hidden="false" customHeight="false" outlineLevel="0" collapsed="false">
      <c r="A6" s="3" t="s">
        <v>361</v>
      </c>
      <c r="B6" s="3" t="s">
        <v>362</v>
      </c>
      <c r="C6" s="3" t="s">
        <v>363</v>
      </c>
    </row>
    <row r="7" customFormat="false" ht="23.85" hidden="false" customHeight="false" outlineLevel="0" collapsed="false">
      <c r="A7" s="3" t="s">
        <v>364</v>
      </c>
      <c r="B7" s="3" t="s">
        <v>365</v>
      </c>
      <c r="C7" s="3" t="s">
        <v>366</v>
      </c>
    </row>
  </sheetData>
  <autoFilter ref="A1:C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2026-10-10T10:29:06Z</dcterms:created>
  <dc:creator>openpyxl</dc:creator>
  <dc:description/>
  <dc:language>en-US</dc:language>
  <cp:lastModifiedBy/>
  <dcterms:modified xsi:type="dcterms:W3CDTF">2026-10-10T12:47:35Z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