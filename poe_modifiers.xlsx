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ummary" sheetId="1" state="visible" r:id="rId3"/>
    <sheet name="Item modifiers" sheetId="2" state="visible" r:id="rId4"/>
    <sheet name="Tile &amp; curse ideas" sheetId="3" state="visible" r:id="rId5"/>
    <sheet name="All poedb candidates" sheetId="4" state="visible" r:id="rId6"/>
  </sheets>
  <definedNames>
    <definedName function="false" hidden="true" localSheetId="3" name="_xlnm._FilterDatabase" vbProcedure="false">'All poedb candidates'!$A$1:$F$379</definedName>
    <definedName function="false" hidden="true" localSheetId="1" name="_xlnm._FilterDatabase" vbProcedure="false">'Item modifiers'!$A$1:$L$104</definedName>
    <definedName function="false" hidden="true" localSheetId="2" name="_xlnm._FilterDatabase" vbProcedure="false">'Tile &amp; curse ideas'!$A$1:$E$28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<sst xmlns="http://schemas.openxmlformats.org/spreadsheetml/2006/main" count="2660" uniqueCount="1337">
  <si>
    <t xml:space="preserve">PoE modifiers for Kobold Clicker</t>
  </si>
  <si>
    <t xml:space="preserve">Source: poedb.tw/us item-class pages (38 classes: weapons, armour by attribute, jewellery, quivers, jewels, flasks), read 2026-10-29: 44,968 tiers, 1,868 distinct modifiers.</t>
  </si>
  <si>
    <t xml:space="preserve">Item modifiers: picked and adapted by hand. N stands for the rolled number; bands are left to you.</t>
  </si>
  <si>
    <t xml:space="preserve">Tile &amp; curse ideas: PoE map modifiers, written from the game (poedb draws its map lists in script).</t>
  </si>
  <si>
    <t xml:space="preserve">All poedb candidates: every modifier left after cutting what has no counterpart here (life, mana, resistances, elements, spells, minions, flasks, ...). 'Picked' marks those on the first tab.</t>
  </si>
  <si>
    <t xml:space="preserve">Fit</t>
  </si>
  <si>
    <t xml:space="preserve">Item modifiers</t>
  </si>
  <si>
    <t xml:space="preserve">Tile ideas</t>
  </si>
  <si>
    <t xml:space="preserve">Meaning</t>
  </si>
  <si>
    <t xml:space="preserve">In game</t>
  </si>
  <si>
    <t xml:space="preserve">A line the game already rolls</t>
  </si>
  <si>
    <t xml:space="preserve">Variant</t>
  </si>
  <si>
    <t xml:space="preserve">Close to an existing line or system</t>
  </si>
  <si>
    <t xml:space="preserve">New stat</t>
  </si>
  <si>
    <t xml:space="preserve">A new stat on the existing systems</t>
  </si>
  <si>
    <t xml:space="preserve">New mechanic</t>
  </si>
  <si>
    <t xml:space="preserve">Needs a new system (stacks, buffs, rage...)</t>
  </si>
  <si>
    <t xml:space="preserve">Unique idea</t>
  </si>
  <si>
    <t xml:space="preserve">A rule-changer for a unique</t>
  </si>
  <si>
    <t xml:space="preserve">Drawback</t>
  </si>
  <si>
    <t xml:space="preserve">A downside for a unique</t>
  </si>
  <si>
    <t xml:space="preserve">Future</t>
  </si>
  <si>
    <t xml:space="preserve">Waits on something unbuilt</t>
  </si>
  <si>
    <t xml:space="preserve">New</t>
  </si>
  <si>
    <t xml:space="preserve">A new tile modifier</t>
  </si>
  <si>
    <t xml:space="preserve">Total</t>
  </si>
  <si>
    <t xml:space="preserve">#</t>
  </si>
  <si>
    <t xml:space="preserve">Group</t>
  </si>
  <si>
    <t xml:space="preserve">PoE modifier (poedb)</t>
  </si>
  <si>
    <t xml:space="preserve">PoE top tier (poedb)</t>
  </si>
  <si>
    <t xml:space="preserve">PoE min item level</t>
  </si>
  <si>
    <t xml:space="preserve">PoE item classes</t>
  </si>
  <si>
    <t xml:space="preserve">PoE source</t>
  </si>
  <si>
    <t xml:space="preserve">Line for Kobold Clicker</t>
  </si>
  <si>
    <t xml:space="preserve">Reads / needs</t>
  </si>
  <si>
    <t xml:space="preserve">Suggested piece</t>
  </si>
  <si>
    <t xml:space="preserve">Notes</t>
  </si>
  <si>
    <t xml:space="preserve">Damage</t>
  </si>
  <si>
    <t xml:space="preserve">#% increased Physical Damage</t>
  </si>
  <si>
    <t xml:space="preserve">(170-179)% increased Physical Damage</t>
  </si>
  <si>
    <t xml:space="preserve">Bows, Claws, Daggers, One Hand Axes, One Hand Maces, One Hand Swords, Sceptres, Staves, Two Hand Maces, Two Hand Swords, Wands</t>
  </si>
  <si>
    <t xml:space="preserve">Base, Corrupted, Crafting Bench, Synthesis</t>
  </si>
  <si>
    <t xml:space="preserve">+N% increased Damage</t>
  </si>
  <si>
    <t xml:space="preserve">damage (PERCENT)</t>
  </si>
  <si>
    <t xml:space="preserve">Weapon</t>
  </si>
  <si>
    <t xml:space="preserve">increased_damage</t>
  </si>
  <si>
    <t xml:space="preserve">Adds # to # Physical Damage</t>
  </si>
  <si>
    <t xml:space="preserve">Adds (22-29) to (45-52) Physical Damage</t>
  </si>
  <si>
    <t xml:space="preserve">Bows, Claws, Daggers, Gloves, One Hand Axes, One Hand Maces, One Hand Swords, Sceptres, Staves, Two Hand Maces, Two Hand Swords, Wands</t>
  </si>
  <si>
    <t xml:space="preserve">Base, Corrupted, Crafting Bench, Delve, Essence, Scourge Beneficial, Synthesis</t>
  </si>
  <si>
    <t xml:space="preserve">+N Damage</t>
  </si>
  <si>
    <t xml:space="preserve">damage (FLAT)</t>
  </si>
  <si>
    <t xml:space="preserve">added_damage; PoE rolls a min-max pair, the game one number</t>
  </si>
  <si>
    <t xml:space="preserve">#% increased Damage</t>
  </si>
  <si>
    <t xml:space="preserve">(8-10)% increased Damage</t>
  </si>
  <si>
    <t xml:space="preserve">Belts, Body Armours, Bows, Claws, Cobalt Jewel, Crimson Jewel, Daggers, One Hand Axes, One Hand Maces, One Hand Swords, Rings, Sceptres, Staves, Two Hand Maces, Two Hand Swords, Viridian Jewel, Wands</t>
  </si>
  <si>
    <t xml:space="preserve">+N% increased Damage (whole set)</t>
  </si>
  <si>
    <t xml:space="preserve">damage (GLOBAL)</t>
  </si>
  <si>
    <t xml:space="preserve">Ring, Amulet</t>
  </si>
  <si>
    <t xml:space="preserve">global_increased_damage</t>
  </si>
  <si>
    <t xml:space="preserve">#% chance to deal Double Damage</t>
  </si>
  <si>
    <t xml:space="preserve">(4-5)% chance to deal Double Damage</t>
  </si>
  <si>
    <t xml:space="preserve">Bows, Claws, Daggers, One Hand Axes, One Hand Maces, One Hand Swords, Sceptres, Shields, Staves, Two Hand Maces, Two Hand Swords, Wands</t>
  </si>
  <si>
    <t xml:space="preserve">Crafting Bench, Delve, Synthesis</t>
  </si>
  <si>
    <t xml:space="preserve">N% chance a blow deals double damage</t>
  </si>
  <si>
    <t xml:space="preserve">new stat</t>
  </si>
  <si>
    <t xml:space="preserve">Weapon, Amulet</t>
  </si>
  <si>
    <t xml:space="preserve">added_double_strike swings twice; this doubles one hit, and the bleed it seeds</t>
  </si>
  <si>
    <t xml:space="preserve">#% chance to deal Triple Damage</t>
  </si>
  <si>
    <t xml:space="preserve">4% chance to deal Triple Damage</t>
  </si>
  <si>
    <t xml:space="preserve">Scourge Beneficial</t>
  </si>
  <si>
    <t xml:space="preserve">N% chance a blow deals triple damage</t>
  </si>
  <si>
    <t xml:space="preserve">Weapon (late tiers)</t>
  </si>
  <si>
    <t xml:space="preserve">PoE gates it behind high item level: a deep tier of the line above</t>
  </si>
  <si>
    <t xml:space="preserve">#% increased Damage per # Strength</t>
  </si>
  <si>
    <t xml:space="preserve">3% increased Damage per 100 Strength</t>
  </si>
  <si>
    <t xml:space="preserve">Amulets, Gloves</t>
  </si>
  <si>
    <t xml:space="preserve">Synthesis, The Eater of Worlds</t>
  </si>
  <si>
    <t xml:space="preserve">+1% increased Damage per N Strength</t>
  </si>
  <si>
    <t xml:space="preserve">Inventory.attributes()</t>
  </si>
  <si>
    <t xml:space="preserve">Amulet, Ring</t>
  </si>
  <si>
    <t xml:space="preserve">Dexterity and Intelligence versions on poedb too; gives points a use past the equip gate</t>
  </si>
  <si>
    <t xml:space="preserve">#% increased Damage with Two Handed Weapons</t>
  </si>
  <si>
    <t xml:space="preserve">(12-14)% increased Damage with Two Handed Weapons</t>
  </si>
  <si>
    <t xml:space="preserve">Crimson Jewel, Viridian Jewel</t>
  </si>
  <si>
    <t xml:space="preserve">Base</t>
  </si>
  <si>
    <t xml:space="preserve">+N% increased Damage while wielding a two-handed weapon</t>
  </si>
  <si>
    <t xml:space="preserve">worn weapon</t>
  </si>
  <si>
    <t xml:space="preserve">Ring, Amulet, Body</t>
  </si>
  <si>
    <t xml:space="preserve">A one-handed twin rewards sword, dagger and mace</t>
  </si>
  <si>
    <t xml:space="preserve">#% increased Damage with Swords</t>
  </si>
  <si>
    <t xml:space="preserve">(14-16)% increased Damage with Swords</t>
  </si>
  <si>
    <t xml:space="preserve">+N% increased Damage with a sword</t>
  </si>
  <si>
    <t xml:space="preserve">worn weapon kind</t>
  </si>
  <si>
    <t xml:space="preserve">One line a kind: sword, dagger, mace, greatsword</t>
  </si>
  <si>
    <t xml:space="preserve">Speed</t>
  </si>
  <si>
    <t xml:space="preserve">#% increased Attack Speed with Daggers</t>
  </si>
  <si>
    <t xml:space="preserve">(6-8)% increased Attack Speed with Daggers</t>
  </si>
  <si>
    <t xml:space="preserve">Cobalt Jewel, Crimson Jewel, Viridian Jewel</t>
  </si>
  <si>
    <t xml:space="preserve">Base, Synthesis</t>
  </si>
  <si>
    <t xml:space="preserve">+N% increased Attack Speed with a dagger</t>
  </si>
  <si>
    <t xml:space="preserve">Ring, Boots</t>
  </si>
  <si>
    <t xml:space="preserve">One line a kind, as above</t>
  </si>
  <si>
    <t xml:space="preserve">#% increased Attack Damage while holding a Shield</t>
  </si>
  <si>
    <t xml:space="preserve">(12-14)% increased Attack Damage while holding a Shield</t>
  </si>
  <si>
    <t xml:space="preserve">+N% increased Damage while holding a shield</t>
  </si>
  <si>
    <t xml:space="preserve">worn offhand kind</t>
  </si>
  <si>
    <t xml:space="preserve">Shield, Helmet</t>
  </si>
  <si>
    <t xml:space="preserve">Buckler and torch twins</t>
  </si>
  <si>
    <t xml:space="preserve">#% increased Attack Speed while holding a Shield</t>
  </si>
  <si>
    <t xml:space="preserve">(4-6)% increased Attack Speed while holding a Shield</t>
  </si>
  <si>
    <t xml:space="preserve">+N% increased Attack Speed while holding a buckler</t>
  </si>
  <si>
    <t xml:space="preserve">Buckler</t>
  </si>
  <si>
    <t xml:space="preserve">Bleed</t>
  </si>
  <si>
    <t xml:space="preserve">Adds # to # Physical Damage against Bleeding Enemies</t>
  </si>
  <si>
    <t xml:space="preserve">Adds (7-11) to (12-18) Physical Damage against Bleeding Enemies</t>
  </si>
  <si>
    <t xml:space="preserve">Gloves</t>
  </si>
  <si>
    <t xml:space="preserve">Delve</t>
  </si>
  <si>
    <t xml:space="preserve">+N Damage to bleeding enemies</t>
  </si>
  <si>
    <t xml:space="preserve">enemy bleeding</t>
  </si>
  <si>
    <t xml:space="preserve">Mace</t>
  </si>
  <si>
    <t xml:space="preserve">Makes the mace's bleed pay twice</t>
  </si>
  <si>
    <t xml:space="preserve">#% chance to cause Bleeding on Hit / #% increased Attack Damage against Bleeding Enemies</t>
  </si>
  <si>
    <t xml:space="preserve">20% chance to cause Bleeding on Hit / (30-40)% increased Attack Damage against Bleeding Enemies</t>
  </si>
  <si>
    <t xml:space="preserve">One Hand Axes</t>
  </si>
  <si>
    <t xml:space="preserve">Corrupted</t>
  </si>
  <si>
    <t xml:space="preserve">+N% increased Damage against bleeding enemies</t>
  </si>
  <si>
    <t xml:space="preserve">Mace, Ring</t>
  </si>
  <si>
    <t xml:space="preserve">A hybrid on poedb; one stat a line here</t>
  </si>
  <si>
    <t xml:space="preserve">Culling Strike</t>
  </si>
  <si>
    <t xml:space="preserve">Enemies left under N% health die at once</t>
  </si>
  <si>
    <t xml:space="preserve">new stat (cull)</t>
  </si>
  <si>
    <t xml:space="preserve">PoE's is a flat 10%; a 5-15% band cuts the slow last sliver of a big health bar</t>
  </si>
  <si>
    <t xml:space="preserve">#% increased Damage with Hits and Ailments against Abyssal Monsters</t>
  </si>
  <si>
    <t xml:space="preserve">(21-25)% increased Damage with Hits and Ailments against Abyssal Monsters</t>
  </si>
  <si>
    <t xml:space="preserve">Bows, Claws, Daggers, Gloves, Helmets, One Hand Axes, One Hand Maces, One Hand Swords, Sceptres, Staves, Two Hand Maces, Two Hand Swords, Wands</t>
  </si>
  <si>
    <t xml:space="preserve">Synthesis</t>
  </si>
  <si>
    <t xml:space="preserve">+N% increased Damage in the &lt;land&gt;</t>
  </si>
  <si>
    <t xml:space="preserve">the tile's environment</t>
  </si>
  <si>
    <t xml:space="preserve">Any piece</t>
  </si>
  <si>
    <t xml:space="preserve">One line per land (six); sits beside Homeland and the home uniques</t>
  </si>
  <si>
    <t xml:space="preserve">While a Unique Enemy is in your Presence, #% increased Attack Damage</t>
  </si>
  <si>
    <t xml:space="preserve">While a Unique Enemy is in your Presence, (29-31)% increased Attack Damage</t>
  </si>
  <si>
    <t xml:space="preserve">Amulets, Helmets</t>
  </si>
  <si>
    <t xml:space="preserve">The Eater of Worlds</t>
  </si>
  <si>
    <t xml:space="preserve">+N% increased Damage against bosses</t>
  </si>
  <si>
    <t xml:space="preserve">boss flag (lairs)</t>
  </si>
  <si>
    <t xml:space="preserve">Weapon, Helmet</t>
  </si>
  <si>
    <t xml:space="preserve">added_elite_damage covers elites and bosses together; this one is for lair farming</t>
  </si>
  <si>
    <t xml:space="preserve">#% increased Damage if Corrupted</t>
  </si>
  <si>
    <t xml:space="preserve">(15-20)% increased Damage if Corrupted</t>
  </si>
  <si>
    <t xml:space="preserve">Rings</t>
  </si>
  <si>
    <t xml:space="preserve">Synthesis, Synthesis Corrupted</t>
  </si>
  <si>
    <t xml:space="preserve">+N% increased Damage while this piece is +1 or more</t>
  </si>
  <si>
    <t xml:space="preserve">Item ascension</t>
  </si>
  <si>
    <t xml:space="preserve">PoE rewards a risky Vaal; ascension is this game's nearest</t>
  </si>
  <si>
    <t xml:space="preserve">#% chance to Impale Enemies on Hit with Attacks</t>
  </si>
  <si>
    <t xml:space="preserve">(5-7)% chance to Impale Enemies on Hit with Attacks</t>
  </si>
  <si>
    <t xml:space="preserve">Cobalt Jewel, Crimson Jewel, Gloves, Rings, Viridian Jewel</t>
  </si>
  <si>
    <t xml:space="preserve">Base, Delve, Scourge Beneficial, Synthesis, The Eater of Worlds</t>
  </si>
  <si>
    <t xml:space="preserve">N% chance a blow impales: the enemy's next 5 hits take 10% of it again</t>
  </si>
  <si>
    <t xml:space="preserve">new enemy state</t>
  </si>
  <si>
    <t xml:space="preserve">Sword, Greatsword</t>
  </si>
  <si>
    <t xml:space="preserve">Gives the sword line a mechanic of its own</t>
  </si>
  <si>
    <t xml:space="preserve">#% increased Impale Effect</t>
  </si>
  <si>
    <t xml:space="preserve">(22-25)% increased Impale Effect</t>
  </si>
  <si>
    <t xml:space="preserve">Bows, Claws, Daggers, One Hand Axes, One Hand Maces, One Hand Swords, Sceptres, Staves, Two Hand Maces, Two Hand Swords</t>
  </si>
  <si>
    <t xml:space="preserve">Essence, Scourge Beneficial</t>
  </si>
  <si>
    <t xml:space="preserve">Impales store N% more damage</t>
  </si>
  <si>
    <t xml:space="preserve">impale</t>
  </si>
  <si>
    <t xml:space="preserve">Ring</t>
  </si>
  <si>
    <t xml:space="preserve">Needs the impale above</t>
  </si>
  <si>
    <t xml:space="preserve">Skills Chain # times</t>
  </si>
  <si>
    <t xml:space="preserve">Skills Chain +1 times</t>
  </si>
  <si>
    <t xml:space="preserve">Quivers</t>
  </si>
  <si>
    <t xml:space="preserve">N% of a killing blow's leftover damage carries to the next enemy</t>
  </si>
  <si>
    <t xml:space="preserve">overkill</t>
  </si>
  <si>
    <t xml:space="preserve">Adapted far: a clicker's version of hitting more than one target</t>
  </si>
  <si>
    <t xml:space="preserve">Crit</t>
  </si>
  <si>
    <t xml:space="preserve">#% increased Critical Strike Chance</t>
  </si>
  <si>
    <t xml:space="preserve">(35-38)% increased Critical Strike Chance</t>
  </si>
  <si>
    <t xml:space="preserve">Base, Corrupted, Crafting Bench, Essence, Synthesis</t>
  </si>
  <si>
    <t xml:space="preserve">+N% increased Crit Chance</t>
  </si>
  <si>
    <t xml:space="preserve">crit_chance (PERCENT)</t>
  </si>
  <si>
    <t xml:space="preserve">increased_crit</t>
  </si>
  <si>
    <t xml:space="preserve">Attacks have #% to Critical Strike Chance</t>
  </si>
  <si>
    <t xml:space="preserve">Attacks have +(0.5-1)% to Critical Strike Chance</t>
  </si>
  <si>
    <t xml:space="preserve">Body Armours, Gloves</t>
  </si>
  <si>
    <t xml:space="preserve">Corrupted, Synthesis</t>
  </si>
  <si>
    <t xml:space="preserve">+N% to Crit Chance</t>
  </si>
  <si>
    <t xml:space="preserve">crit_chance (FLAT)</t>
  </si>
  <si>
    <t xml:space="preserve">added_crit</t>
  </si>
  <si>
    <t xml:space="preserve">#% increased Global Critical Strike Chance</t>
  </si>
  <si>
    <t xml:space="preserve">(35-38)% increased Global Critical Strike Chance</t>
  </si>
  <si>
    <t xml:space="preserve">Amulets, Belts, Cobalt Jewel, Crimson Jewel, Gloves, Helmets, Quivers, Rings, Viridian Jewel</t>
  </si>
  <si>
    <t xml:space="preserve">Base, Corrupted, Crafting Bench, Essence, Haunted Modifiers, Scourge Beneficial, Synthesis</t>
  </si>
  <si>
    <t xml:space="preserve">+N% increased Crit Chance (whole set)</t>
  </si>
  <si>
    <t xml:space="preserve">crit_chance (GLOBAL)</t>
  </si>
  <si>
    <t xml:space="preserve">global_increased_crit</t>
  </si>
  <si>
    <t xml:space="preserve">#% to Global Critical Strike Multiplier</t>
  </si>
  <si>
    <t xml:space="preserve">+(35-38)% to Global Critical Strike Multiplier</t>
  </si>
  <si>
    <t xml:space="preserve">Amulets, Bows, Claws, Cobalt Jewel, Crimson Jewel, Daggers, Gloves, One Hand Axes, One Hand Maces, One Hand Swords, Quivers, Rings, Sceptres, Staves, Two Hand Maces, Two Hand Swords, Viridian Jewel, Wands</t>
  </si>
  <si>
    <t xml:space="preserve">+N% to Crit Damage</t>
  </si>
  <si>
    <t xml:space="preserve">crit_damage</t>
  </si>
  <si>
    <t xml:space="preserve">Weapon, Ring, Amulet</t>
  </si>
  <si>
    <t xml:space="preserve">added_crit_damage, global_increased_crit_damage</t>
  </si>
  <si>
    <t xml:space="preserve">#% Critical Strike Multiplier while a Rare or Unique Enemy is Nearby</t>
  </si>
  <si>
    <t xml:space="preserve">+(26-30)% Critical Strike Multiplier while a Rare or Unique Enemy is Nearby</t>
  </si>
  <si>
    <t xml:space="preserve">Crafting Bench</t>
  </si>
  <si>
    <t xml:space="preserve">+N% to Crit Damage against elites and bosses</t>
  </si>
  <si>
    <t xml:space="preserve">elite flag</t>
  </si>
  <si>
    <t xml:space="preserve">Helmet, Amulet</t>
  </si>
  <si>
    <t xml:space="preserve">Resolute Technique</t>
  </si>
  <si>
    <t xml:space="preserve">Body Armours, One Hand Swords, Two Hand Swords</t>
  </si>
  <si>
    <t xml:space="preserve">Corrupted, Recombinator, Scourge Beneficial</t>
  </si>
  <si>
    <t xml:space="preserve">Never crits; +N% more Damage</t>
  </si>
  <si>
    <t xml:space="preserve">keystone</t>
  </si>
  <si>
    <t xml:space="preserve">A unique</t>
  </si>
  <si>
    <t xml:space="preserve">A build-around for the crit-less</t>
  </si>
  <si>
    <t xml:space="preserve">Your Critical Strikes do not deal extra Damage</t>
  </si>
  <si>
    <t xml:space="preserve">Amulets</t>
  </si>
  <si>
    <t xml:space="preserve">Scourge Detrimental</t>
  </si>
  <si>
    <t xml:space="preserve">Crits deal no extra damage</t>
  </si>
  <si>
    <t xml:space="preserve">Pairs with on-crit effects (stacks, stun) on the same unique</t>
  </si>
  <si>
    <t xml:space="preserve">#% increased Attack Speed</t>
  </si>
  <si>
    <t xml:space="preserve">(26-27)% increased Attack Speed</t>
  </si>
  <si>
    <t xml:space="preserve">Amulets, Bows, Claws, Cobalt Jewel, Crimson Jewel, Daggers, Gloves, One Hand Axes, One Hand Maces, One Hand Swords, Quivers, Rings, Sceptres, Shields, Staves, Two Hand Maces, Two Hand Swords, Viridian Jewel, Wands</t>
  </si>
  <si>
    <t xml:space="preserve">Base, Corrupted, Crafting Bench, Essence, Scourge Beneficial, Synthesis, The Searing Exarch</t>
  </si>
  <si>
    <t xml:space="preserve">+N% increased Attack Speed</t>
  </si>
  <si>
    <t xml:space="preserve">attack_speed</t>
  </si>
  <si>
    <t xml:space="preserve">increased_attack_speed</t>
  </si>
  <si>
    <t xml:space="preserve">#% increased Action Speed</t>
  </si>
  <si>
    <t xml:space="preserve">(4-6)% increased Action Speed</t>
  </si>
  <si>
    <t xml:space="preserve">Boots</t>
  </si>
  <si>
    <t xml:space="preserve">Corrupted, The Searing Exarch</t>
  </si>
  <si>
    <t xml:space="preserve">The fight clock runs N% slower</t>
  </si>
  <si>
    <t xml:space="preserve">fight clock</t>
  </si>
  <si>
    <t xml:space="preserve">Boots, Amulet</t>
  </si>
  <si>
    <t xml:space="preserve">added_fight_clock adds seconds; this stretches every one. Glass World turned round</t>
  </si>
  <si>
    <t xml:space="preserve">#% increased Attack Speed while a Rare or Unique Enemy is Nearby</t>
  </si>
  <si>
    <t xml:space="preserve">(10-11)% increased Attack Speed while a Rare or Unique Enemy is Nearby</t>
  </si>
  <si>
    <t xml:space="preserve">+N% increased Attack Speed against elites and bosses</t>
  </si>
  <si>
    <t xml:space="preserve">Boots, Ring</t>
  </si>
  <si>
    <t xml:space="preserve">Map</t>
  </si>
  <si>
    <t xml:space="preserve">#% increased Movement Speed</t>
  </si>
  <si>
    <t xml:space="preserve">35% increased Movement Speed</t>
  </si>
  <si>
    <t xml:space="preserve">Amulets, Belts, Body Armours, Boots, Helmets, Rings</t>
  </si>
  <si>
    <t xml:space="preserve">+N% increased Move Speed</t>
  </si>
  <si>
    <t xml:space="preserve">move_speed</t>
  </si>
  <si>
    <t xml:space="preserve">increased_move_speed</t>
  </si>
  <si>
    <t xml:space="preserve">On kill</t>
  </si>
  <si>
    <t xml:space="preserve">#% chance to gain Onslaught for # seconds on Kill</t>
  </si>
  <si>
    <t xml:space="preserve">(7-8)% chance to gain Onslaught for 4 seconds on Kill</t>
  </si>
  <si>
    <t xml:space="preserve">Belts, Boots, Bows, Claws, Daggers, One Hand Axes, One Hand Maces, One Hand Swords, Quivers, Sceptres, Shields, Staves, Two Hand Maces, Two Hand Swords, Wands</t>
  </si>
  <si>
    <t xml:space="preserve">Corrupted, Delve, Scourge Beneficial, Synthesis</t>
  </si>
  <si>
    <t xml:space="preserve">N% chance a kill gives +20% Attack Speed for 4 seconds</t>
  </si>
  <si>
    <t xml:space="preserve">timed buffs</t>
  </si>
  <si>
    <t xml:space="preserve">Boots, Weapon</t>
  </si>
  <si>
    <t xml:space="preserve">PoE's Onslaught; the timed-buff rows below share one system</t>
  </si>
  <si>
    <t xml:space="preserve">On hit</t>
  </si>
  <si>
    <t xml:space="preserve">You gain Onslaught for # seconds when Hit</t>
  </si>
  <si>
    <t xml:space="preserve">You gain Onslaught for 3 seconds when Hit</t>
  </si>
  <si>
    <t xml:space="preserve">Body Armours</t>
  </si>
  <si>
    <t xml:space="preserve">A blow that lands on you gives +20% Attack Speed for N seconds</t>
  </si>
  <si>
    <t xml:space="preserve">Body</t>
  </si>
  <si>
    <t xml:space="preserve">Turns lost time into a comeback</t>
  </si>
  <si>
    <t xml:space="preserve">#% increased Effect of Onslaught on you</t>
  </si>
  <si>
    <t xml:space="preserve">(6-7)% increased Effect of Onslaught on you</t>
  </si>
  <si>
    <t xml:space="preserve">Boots, Bows, Claws, Daggers, One Hand Axes, One Hand Maces, One Hand Swords, Sceptres, Staves, Two Hand Maces, Two Hand Swords, Wands</t>
  </si>
  <si>
    <t xml:space="preserve">Recombinator, The Searing Exarch</t>
  </si>
  <si>
    <t xml:space="preserve">Kill-speed bursts are N% stronger</t>
  </si>
  <si>
    <t xml:space="preserve">#% chance to gain Unholy Might for # seconds on Kill</t>
  </si>
  <si>
    <t xml:space="preserve">6% chance to gain Unholy Might for 3 seconds on Kill</t>
  </si>
  <si>
    <t xml:space="preserve">Claws, Daggers, Staves, Wands</t>
  </si>
  <si>
    <t xml:space="preserve">Corrupted, Scourge Beneficial</t>
  </si>
  <si>
    <t xml:space="preserve">N% chance a kill gives +30% increased Damage for 4 seconds</t>
  </si>
  <si>
    <t xml:space="preserve">#% chance to gain Phasing for # seconds on Kill</t>
  </si>
  <si>
    <t xml:space="preserve">(16-20)% chance to gain Phasing for 4 seconds on Kill</t>
  </si>
  <si>
    <t xml:space="preserve">N% chance a kill makes the next enemy blow miss</t>
  </si>
  <si>
    <t xml:space="preserve">Hood, Jerkin</t>
  </si>
  <si>
    <t xml:space="preserve">#% increased Skill Effect Duration</t>
  </si>
  <si>
    <t xml:space="preserve">(7-8)% increased Skill Effect Duration</t>
  </si>
  <si>
    <t xml:space="preserve">Amulets, Belts</t>
  </si>
  <si>
    <t xml:space="preserve">Corrupted, The Eater of Worlds</t>
  </si>
  <si>
    <t xml:space="preserve">Buffs from kills last N% longer</t>
  </si>
  <si>
    <t xml:space="preserve">Amulet</t>
  </si>
  <si>
    <t xml:space="preserve">Rage</t>
  </si>
  <si>
    <t xml:space="preserve">Gain # Rage on Attack Hit</t>
  </si>
  <si>
    <t xml:space="preserve">Gain 1 Rage on Attack Hit</t>
  </si>
  <si>
    <t xml:space="preserve">The Searing Exarch</t>
  </si>
  <si>
    <t xml:space="preserve">Each blow builds N rage; a rage is +1% Damage, up to 30, draining away out of a fight</t>
  </si>
  <si>
    <t xml:space="preserve">new: rage</t>
  </si>
  <si>
    <t xml:space="preserve">Fast clicking builds it; a clicker's natural fit</t>
  </si>
  <si>
    <t xml:space="preserve">Inherent loss of Rage is #% slower</t>
  </si>
  <si>
    <t xml:space="preserve">Inherent loss of Rage is 20% slower</t>
  </si>
  <si>
    <t xml:space="preserve">Helmets</t>
  </si>
  <si>
    <t xml:space="preserve">Infamous</t>
  </si>
  <si>
    <t xml:space="preserve">Rage drains N% slower</t>
  </si>
  <si>
    <t xml:space="preserve">rage</t>
  </si>
  <si>
    <t xml:space="preserve">Abilities</t>
  </si>
  <si>
    <t xml:space="preserve">#% increased Cooldown Recovery Rate</t>
  </si>
  <si>
    <t xml:space="preserve">(28-32)% increased Cooldown Recovery Rate</t>
  </si>
  <si>
    <t xml:space="preserve">Belts, Boots, Tinctures</t>
  </si>
  <si>
    <t xml:space="preserve">Base, Crafting Bench, Scourge Beneficial, The Eater of Worlds</t>
  </si>
  <si>
    <t xml:space="preserve">Abilities recharge N% faster</t>
  </si>
  <si>
    <t xml:space="preserve">wall 7 ability stones</t>
  </si>
  <si>
    <t xml:space="preserve">Only once the ability stones are built</t>
  </si>
  <si>
    <t xml:space="preserve">Stacks</t>
  </si>
  <si>
    <t xml:space="preserve">#% chance to gain a Power Charge on Critical Strike</t>
  </si>
  <si>
    <t xml:space="preserve">15% chance to gain a Power Charge on Critical Strike</t>
  </si>
  <si>
    <t xml:space="preserve">Body Armours, Claws, Daggers, Sceptres, Staves, Wands</t>
  </si>
  <si>
    <t xml:space="preserve">N% chance a crit adds +5% Crit Chance for the fight, up to 3 times</t>
  </si>
  <si>
    <t xml:space="preserve">new: fight stacks</t>
  </si>
  <si>
    <t xml:space="preserve">Weapon, Ring</t>
  </si>
  <si>
    <t xml:space="preserve">PoE's charges as stacks that last one fight; the rows below share the system</t>
  </si>
  <si>
    <t xml:space="preserve">#% increased Damage per Power Charge</t>
  </si>
  <si>
    <t xml:space="preserve">4% increased Damage per Power Charge</t>
  </si>
  <si>
    <t xml:space="preserve">Amulets, Bows, Claws, Daggers, Helmets, One Hand Axes, One Hand Maces, One Hand Swords, Sceptres, Shields, Staves, Two Hand Maces, Two Hand Swords, Wands</t>
  </si>
  <si>
    <t xml:space="preserve">Crafting Bench, Synthesis, The Searing Exarch</t>
  </si>
  <si>
    <t xml:space="preserve">+N% increased Damage per crit stack</t>
  </si>
  <si>
    <t xml:space="preserve">fight stacks</t>
  </si>
  <si>
    <t xml:space="preserve">#% chance to gain a Frenzy Charge on Kill</t>
  </si>
  <si>
    <t xml:space="preserve">(9-10)% chance to gain a Frenzy Charge on Kill</t>
  </si>
  <si>
    <t xml:space="preserve">Bows, Claws, Daggers, Gloves, One Hand Axes, One Hand Maces, One Hand Swords, Quivers, Rings, Sceptres, Staves, Two Hand Maces, Two Hand Swords, Wands</t>
  </si>
  <si>
    <t xml:space="preserve">Corrupted, Scourge Beneficial, Synthesis</t>
  </si>
  <si>
    <t xml:space="preserve">N% chance a kill adds +4% Attack Speed for the fight, up to 3 times</t>
  </si>
  <si>
    <t xml:space="preserve">Weapon, Boots</t>
  </si>
  <si>
    <t xml:space="preserve">#% increased Damage per Frenzy Charge</t>
  </si>
  <si>
    <t xml:space="preserve">4% increased Damage per Frenzy Charge</t>
  </si>
  <si>
    <t xml:space="preserve">Amulets, Bows, Claws, Daggers, Gloves, One Hand Axes, One Hand Maces, One Hand Swords, Sceptres, Staves, Two Hand Maces, Two Hand Swords, Wands</t>
  </si>
  <si>
    <t xml:space="preserve">+N% increased Damage per speed stack</t>
  </si>
  <si>
    <t xml:space="preserve">#% chance to gain a Frenzy Charge when Hit</t>
  </si>
  <si>
    <t xml:space="preserve">(15-20)% chance to gain a Frenzy Charge when Hit</t>
  </si>
  <si>
    <t xml:space="preserve">N% chance a blow that lands on you adds a speed stack</t>
  </si>
  <si>
    <t xml:space="preserve">Jerkin</t>
  </si>
  <si>
    <t xml:space="preserve">Gain a Frenzy Charge every # seconds</t>
  </si>
  <si>
    <t xml:space="preserve">Gain a Frenzy Charge every 15 seconds</t>
  </si>
  <si>
    <t xml:space="preserve">A speed stack every N seconds of a fight</t>
  </si>
  <si>
    <t xml:space="preserve">Idle-friendly: no click needed</t>
  </si>
  <si>
    <t xml:space="preserve"># to Maximum Frenzy Charges</t>
  </si>
  <si>
    <t xml:space="preserve">+1 to Maximum Frenzy Charges</t>
  </si>
  <si>
    <t xml:space="preserve">Bows, Gloves, Rings, Shields</t>
  </si>
  <si>
    <t xml:space="preserve">Corrupted, Haunted Modifiers, Recombinator, Scourge Detrimental, Synthesis</t>
  </si>
  <si>
    <t xml:space="preserve">+1 to the most speed stacks</t>
  </si>
  <si>
    <t xml:space="preserve">Amulet, Body</t>
  </si>
  <si>
    <t xml:space="preserve">Power and endurance twins</t>
  </si>
  <si>
    <t xml:space="preserve">#% chance to gain an Endurance Charge on Kill</t>
  </si>
  <si>
    <t xml:space="preserve">(9-10)% chance to gain an Endurance Charge on Kill</t>
  </si>
  <si>
    <t xml:space="preserve">Boots, Bows, Claws, Daggers, One Hand Axes, One Hand Maces, One Hand Swords, Rings, Sceptres, Staves, Two Hand Maces, Two Hand Swords, Wands</t>
  </si>
  <si>
    <t xml:space="preserve">Scourge Beneficial, Synthesis</t>
  </si>
  <si>
    <t xml:space="preserve">N% chance a kill adds 4% less time lost to blows for the fight, up to 3 times</t>
  </si>
  <si>
    <t xml:space="preserve">Plate, Shield</t>
  </si>
  <si>
    <t xml:space="preserve">Melee Hits have #% chance to Fortify</t>
  </si>
  <si>
    <t xml:space="preserve">Melee Hits have (6-7)% chance to Fortify</t>
  </si>
  <si>
    <t xml:space="preserve">Body Armours, One Hand Axes, One Hand Maces, One Hand Swords</t>
  </si>
  <si>
    <t xml:space="preserve">N% chance a blow you land adds 1% less time lost, up to 20, for the fight</t>
  </si>
  <si>
    <t xml:space="preserve">Plate, Helmet</t>
  </si>
  <si>
    <t xml:space="preserve">PoE's Fortify</t>
  </si>
  <si>
    <t xml:space="preserve">#% chance to cause Bleeding on Hit</t>
  </si>
  <si>
    <t xml:space="preserve">(15-20)% chance to cause Bleeding on Hit</t>
  </si>
  <si>
    <t xml:space="preserve">Bows, One Hand Axes, One Hand Maces, One Hand Swords, Two Hand Maces, Two Hand Swords</t>
  </si>
  <si>
    <t xml:space="preserve">+N% to Bleed</t>
  </si>
  <si>
    <t xml:space="preserve">bleed</t>
  </si>
  <si>
    <t xml:space="preserve">added_bleed</t>
  </si>
  <si>
    <t xml:space="preserve">#% increased Damage with Bleeding</t>
  </si>
  <si>
    <t xml:space="preserve">(16-20)% increased Damage with Bleeding</t>
  </si>
  <si>
    <t xml:space="preserve">Bows, Claws, Cobalt Jewel, Crimson Jewel, Daggers, Gloves, One Hand Axes, One Hand Maces, One Hand Swords, Sceptres, Staves, Two Hand Maces, Two Hand Swords, Viridian Jewel, Wands</t>
  </si>
  <si>
    <t xml:space="preserve">Bleeding deals N% more damage</t>
  </si>
  <si>
    <t xml:space="preserve">The bleed stat today is how much; this scales what each bleed does</t>
  </si>
  <si>
    <t xml:space="preserve">Bleeding you inflict deals Damage #% faster</t>
  </si>
  <si>
    <t xml:space="preserve">Bleeding you inflict deals Damage 5% faster</t>
  </si>
  <si>
    <t xml:space="preserve">Boots, Bows, Claws, Daggers, Gloves, One Hand Axes, One Hand Maces, One Hand Swords, Rings, Sceptres, Staves, Two Hand Maces, Two Hand Swords, Wands</t>
  </si>
  <si>
    <t xml:space="preserve">Delve, Haunted Modifiers, Scourge Beneficial, Synthesis, The Eater of Worlds</t>
  </si>
  <si>
    <t xml:space="preserve">Bleeding deals its damage N% faster</t>
  </si>
  <si>
    <t xml:space="preserve">Mace, Amulet</t>
  </si>
  <si>
    <t xml:space="preserve">#% increased Bleeding Duration</t>
  </si>
  <si>
    <t xml:space="preserve">(8-12)% increased Bleeding Duration</t>
  </si>
  <si>
    <t xml:space="preserve">Bows, Gloves, One Hand Axes, One Hand Maces, One Hand Swords, Two Hand Maces, Two Hand Swords</t>
  </si>
  <si>
    <t xml:space="preserve">Bleeding lasts N% longer</t>
  </si>
  <si>
    <t xml:space="preserve">#% chance for Bleeding inflicted with this Weapon to deal #% more Damage</t>
  </si>
  <si>
    <t xml:space="preserve">60% chance for Bleeding inflicted with this Weapon to deal 100% more Damage</t>
  </si>
  <si>
    <t xml:space="preserve">N% chance a bleed deals 100% more</t>
  </si>
  <si>
    <t xml:space="preserve">Crimson Dance</t>
  </si>
  <si>
    <t xml:space="preserve">Recombinator, Scourge Beneficial</t>
  </si>
  <si>
    <t xml:space="preserve">Bleeding stacks up to 8 times, each 50% weaker</t>
  </si>
  <si>
    <t xml:space="preserve">A mace unique</t>
  </si>
  <si>
    <t xml:space="preserve">Poison</t>
  </si>
  <si>
    <t xml:space="preserve">#% chance to Poison on Hit</t>
  </si>
  <si>
    <t xml:space="preserve">5% chance to Poison on Hit</t>
  </si>
  <si>
    <t xml:space="preserve">Bows, Claws, Cobalt Jewel, Crimson Jewel, Daggers, Gloves, One Hand Swords, Two Hand Swords, Viridian Jewel</t>
  </si>
  <si>
    <t xml:space="preserve">Haunted Modifiers, Scourge Beneficial, Synthesis, The Eater of Worlds</t>
  </si>
  <si>
    <t xml:space="preserve">N% chance a blow poisons: 20% of its damage over 2 seconds, stacking without limit</t>
  </si>
  <si>
    <t xml:space="preserve">new: poison</t>
  </si>
  <si>
    <t xml:space="preserve">Dagger</t>
  </si>
  <si>
    <t xml:space="preserve">Gives the dagger its own damage over time, as the mace has bleed, the torch burn</t>
  </si>
  <si>
    <t xml:space="preserve">#% increased Damage with Poison</t>
  </si>
  <si>
    <t xml:space="preserve">(16-20)% increased Damage with Poison</t>
  </si>
  <si>
    <t xml:space="preserve">Bows, Claws, Cobalt Jewel, Crimson Jewel, Daggers, Gloves, One Hand Axes, One Hand Maces, One Hand Swords, Quivers, Rings, Sceptres, Staves, Two Hand Maces, Two Hand Swords, Viridian Jewel, Wands</t>
  </si>
  <si>
    <t xml:space="preserve">Poison deals N% more damage</t>
  </si>
  <si>
    <t xml:space="preserve">poison</t>
  </si>
  <si>
    <t xml:space="preserve">Dagger, Ring</t>
  </si>
  <si>
    <t xml:space="preserve">Burn</t>
  </si>
  <si>
    <t xml:space="preserve">#% increased Burning Damage</t>
  </si>
  <si>
    <t xml:space="preserve">(16-20)% increased Burning Damage</t>
  </si>
  <si>
    <t xml:space="preserve">Boots, Cobalt Jewel, Crimson Jewel, Sceptres, Staves, Viridian Jewel, Wands</t>
  </si>
  <si>
    <t xml:space="preserve">Burns deal N% more damage</t>
  </si>
  <si>
    <t xml:space="preserve">burn</t>
  </si>
  <si>
    <t xml:space="preserve">Torch, Ring</t>
  </si>
  <si>
    <t xml:space="preserve">added_burn is on torches already</t>
  </si>
  <si>
    <t xml:space="preserve">Damage over time</t>
  </si>
  <si>
    <t xml:space="preserve">#% to Damage over Time Multiplier</t>
  </si>
  <si>
    <t xml:space="preserve">+(24-26)% to Damage over Time Multiplier</t>
  </si>
  <si>
    <t xml:space="preserve">Amulets, Bows, Claws, Cobalt Jewel, Crimson Jewel, Daggers, Helmets, One Hand Axes, One Hand Maces, One Hand Swords, Rings, Sceptres, Staves, Two Hand Maces, Two Hand Swords, Viridian Jewel, Wands</t>
  </si>
  <si>
    <t xml:space="preserve">Base, Corrupted, Essence, Scourge Beneficial</t>
  </si>
  <si>
    <t xml:space="preserve">+N% to bleed, burn and poison damage</t>
  </si>
  <si>
    <t xml:space="preserve">Perfect Agony</t>
  </si>
  <si>
    <t xml:space="preserve">Crit Damage also applies to bleeds and burns, at half</t>
  </si>
  <si>
    <t xml:space="preserve">Defence</t>
  </si>
  <si>
    <t xml:space="preserve">#% increased Armour</t>
  </si>
  <si>
    <t xml:space="preserve">(101-110)% increased Armour</t>
  </si>
  <si>
    <t xml:space="preserve">Amulets, Belts, Body Armours, Boots, Bows, Claws, Cobalt Jewel, Crimson Jewel, Daggers, Gloves, Helmets, One Hand Axes, One Hand Maces, One Hand Swords, Quivers, Rings, Sceptres, Shields, Staves, Two Hand Maces, Two Hand Swords, Viridian Jewel, Wands</t>
  </si>
  <si>
    <t xml:space="preserve">Base, Crafting Bench, Essence, Synthesis, The Eater of Worlds</t>
  </si>
  <si>
    <t xml:space="preserve">+N% increased Armour</t>
  </si>
  <si>
    <t xml:space="preserve">armor</t>
  </si>
  <si>
    <t xml:space="preserve">Plate, Helmet, Shield</t>
  </si>
  <si>
    <t xml:space="preserve">increased_armor</t>
  </si>
  <si>
    <t xml:space="preserve"># to Armour</t>
  </si>
  <si>
    <t xml:space="preserve">+(461-540) to Armour</t>
  </si>
  <si>
    <t xml:space="preserve">Belts, Body Armours, Boots, Gloves, Helmets, Rings, Shields</t>
  </si>
  <si>
    <t xml:space="preserve">Base, Crafting Bench, Essence, Scourge Beneficial, Synthesis</t>
  </si>
  <si>
    <t xml:space="preserve">+N Armour</t>
  </si>
  <si>
    <t xml:space="preserve">added_armor</t>
  </si>
  <si>
    <t xml:space="preserve">#% increased Evasion Rating</t>
  </si>
  <si>
    <t xml:space="preserve">(101-110)% increased Evasion Rating</t>
  </si>
  <si>
    <t xml:space="preserve">+N% increased Dodge</t>
  </si>
  <si>
    <t xml:space="preserve">dodge</t>
  </si>
  <si>
    <t xml:space="preserve">Jerkin, Hood, Buckler</t>
  </si>
  <si>
    <t xml:space="preserve">increased_dodge</t>
  </si>
  <si>
    <t xml:space="preserve"># to Evasion Rating</t>
  </si>
  <si>
    <t xml:space="preserve">+(151-170) to Evasion Rating</t>
  </si>
  <si>
    <t xml:space="preserve">+N Dodge</t>
  </si>
  <si>
    <t xml:space="preserve">added_dodge</t>
  </si>
  <si>
    <t xml:space="preserve">#% Chance to Block Attack Damage</t>
  </si>
  <si>
    <t xml:space="preserve">+(18-20)% Chance to Block Attack Damage</t>
  </si>
  <si>
    <t xml:space="preserve">Amulets, Body Armours, Boots, Gloves, Helmets, Shields, Staves, Two Hand Maces, Two Hand Swords</t>
  </si>
  <si>
    <t xml:space="preserve">Base, Corrupted, Crafting Bench, Delve, Scourge Beneficial, Synthesis, The Eater of Worlds</t>
  </si>
  <si>
    <t xml:space="preserve">+N Block (seconds)</t>
  </si>
  <si>
    <t xml:space="preserve">block</t>
  </si>
  <si>
    <t xml:space="preserve">Shield, Buckler</t>
  </si>
  <si>
    <t xml:space="preserve">added_block; PoE's block is a chance, the game's a share of a blow's time</t>
  </si>
  <si>
    <t xml:space="preserve">#% increased Armour and Evasion</t>
  </si>
  <si>
    <t xml:space="preserve">(56-74)% increased Armour and Evasion</t>
  </si>
  <si>
    <t xml:space="preserve">Body Armours, Boots, Gloves, Helmets, Shields</t>
  </si>
  <si>
    <t xml:space="preserve">+N% increased Armour and Dodge</t>
  </si>
  <si>
    <t xml:space="preserve">hybrid line</t>
  </si>
  <si>
    <t xml:space="preserve">Needs two stats on a line; the table holds one a line today</t>
  </si>
  <si>
    <t xml:space="preserve">#% increased Global Defences</t>
  </si>
  <si>
    <t xml:space="preserve">(4-6)% increased Global Defences</t>
  </si>
  <si>
    <t xml:space="preserve">+N% increased Armour, Dodge and Block (whole set)</t>
  </si>
  <si>
    <t xml:space="preserve">GLOBAL on three stats</t>
  </si>
  <si>
    <t xml:space="preserve">#% increased Global Defences if there are no Defence Modifiers on other Equipped Items</t>
  </si>
  <si>
    <t xml:space="preserve">(70-90)% increased Global Defences if there are no Defence Modifiers on other Equipped Items</t>
  </si>
  <si>
    <t xml:space="preserve">Essence</t>
  </si>
  <si>
    <t xml:space="preserve">+N% increased Armour and Dodge if no other worn piece has a defence line</t>
  </si>
  <si>
    <t xml:space="preserve">worn lines</t>
  </si>
  <si>
    <t xml:space="preserve">A body unique</t>
  </si>
  <si>
    <t xml:space="preserve">A build-around</t>
  </si>
  <si>
    <t xml:space="preserve">#% chance to Defend with #% of Armour</t>
  </si>
  <si>
    <t xml:space="preserve">(15-20)% chance to Defend with 200% of Armour</t>
  </si>
  <si>
    <t xml:space="preserve">Amulets, Belts, Body Armours, Boots, Rings</t>
  </si>
  <si>
    <t xml:space="preserve">Delve, Synthesis</t>
  </si>
  <si>
    <t xml:space="preserve">N% chance a blow meets double your Armour</t>
  </si>
  <si>
    <t xml:space="preserve">Idle</t>
  </si>
  <si>
    <t xml:space="preserve">#% additional Physical Damage Reduction while stationary</t>
  </si>
  <si>
    <t xml:space="preserve">(3-5)% additional Physical Damage Reduction while stationary</t>
  </si>
  <si>
    <t xml:space="preserve">N% less time lost to blows while you have not clicked for 3 seconds</t>
  </si>
  <si>
    <t xml:space="preserve">click timer</t>
  </si>
  <si>
    <t xml:space="preserve">Body, Helmet</t>
  </si>
  <si>
    <t xml:space="preserve">Rewards letting the weapon swing on its own</t>
  </si>
  <si>
    <t xml:space="preserve">Active</t>
  </si>
  <si>
    <t xml:space="preserve">#% additional Physical Damage Reduction while moving</t>
  </si>
  <si>
    <t xml:space="preserve">(3-5)% additional Physical Damage Reduction while moving</t>
  </si>
  <si>
    <t xml:space="preserve">N% less time lost to blows while you are clicking</t>
  </si>
  <si>
    <t xml:space="preserve">Body, Boots</t>
  </si>
  <si>
    <t xml:space="preserve">The clicking twin of the line above</t>
  </si>
  <si>
    <t xml:space="preserve">Reflects # Physical Damage to Melee Attackers</t>
  </si>
  <si>
    <t xml:space="preserve">Reflects (25-50) Physical Damage to Melee Attackers</t>
  </si>
  <si>
    <t xml:space="preserve">Belts, Body Armours, Boots, Helmets, Shields</t>
  </si>
  <si>
    <t xml:space="preserve">Base, Essence, Scourge Beneficial, Synthesis</t>
  </si>
  <si>
    <t xml:space="preserve">Blows that land on you strike back for N% of your damage</t>
  </si>
  <si>
    <t xml:space="preserve">thorns</t>
  </si>
  <si>
    <t xml:space="preserve">added_thorns</t>
  </si>
  <si>
    <t xml:space="preserve">Glancing Blows</t>
  </si>
  <si>
    <t xml:space="preserve">Body Armours, Shields</t>
  </si>
  <si>
    <t xml:space="preserve">Your Block stops twice as much, but never a whole blow</t>
  </si>
  <si>
    <t xml:space="preserve">A shield unique</t>
  </si>
  <si>
    <t xml:space="preserve">Would switch off time_on_block</t>
  </si>
  <si>
    <t xml:space="preserve">Iron Reflexes</t>
  </si>
  <si>
    <t xml:space="preserve">Your Dodge counts as Armour instead</t>
  </si>
  <si>
    <t xml:space="preserve">Acrobatics</t>
  </si>
  <si>
    <t xml:space="preserve">Dodge doubled; Armour and Block halved</t>
  </si>
  <si>
    <t xml:space="preserve">Wind Dancer</t>
  </si>
  <si>
    <t xml:space="preserve">N% less time lost until the first blow lands on you, N% more after</t>
  </si>
  <si>
    <t xml:space="preserve">Cannot Evade Enemy Attacks</t>
  </si>
  <si>
    <t xml:space="preserve">You cannot dodge</t>
  </si>
  <si>
    <t xml:space="preserve">drawback</t>
  </si>
  <si>
    <t xml:space="preserve">#% less Damage Taken per # Strength</t>
  </si>
  <si>
    <t xml:space="preserve">1% less Damage Taken per 230 Strength</t>
  </si>
  <si>
    <t xml:space="preserve">1% less time lost to blows per N Strength</t>
  </si>
  <si>
    <t xml:space="preserve">Dexterity and Intelligence twins</t>
  </si>
  <si>
    <t xml:space="preserve">Control</t>
  </si>
  <si>
    <t xml:space="preserve">#% chance to Blind Enemies when they Hit you</t>
  </si>
  <si>
    <t xml:space="preserve">(21-30)% chance to Blind Enemies when they Hit you</t>
  </si>
  <si>
    <t xml:space="preserve">N% chance a blow that lands on you blinds the enemy: its next blow misses</t>
  </si>
  <si>
    <t xml:space="preserve">Hood, Buckler</t>
  </si>
  <si>
    <t xml:space="preserve">#% Global chance to Blind Enemies on hit</t>
  </si>
  <si>
    <t xml:space="preserve">(9-10)% Global chance to Blind Enemies on hit</t>
  </si>
  <si>
    <t xml:space="preserve">Body Armours, Gloves, Quivers</t>
  </si>
  <si>
    <t xml:space="preserve">Delve, Haunted Modifiers, Scourge Beneficial, Synthesis</t>
  </si>
  <si>
    <t xml:space="preserve">N% chance a blow blinds: the enemy's next blow misses</t>
  </si>
  <si>
    <t xml:space="preserve">Attacks have #% chance to Maim on Hit</t>
  </si>
  <si>
    <t xml:space="preserve">Attacks have 15% chance to Maim on Hit</t>
  </si>
  <si>
    <t xml:space="preserve">Gloves, Quivers</t>
  </si>
  <si>
    <t xml:space="preserve">Haunted Modifiers, Scourge Beneficial, The Eater of Worlds</t>
  </si>
  <si>
    <t xml:space="preserve">N% chance a blow cripples: the enemy strikes 20% slower for 4 seconds</t>
  </si>
  <si>
    <t xml:space="preserve">#% chance to Knock Enemies Back on hit</t>
  </si>
  <si>
    <t xml:space="preserve">(4-6)% chance to Knock Enemies Back on hit</t>
  </si>
  <si>
    <t xml:space="preserve">Cobalt Jewel, Crimson Jewel, Gloves, Viridian Jewel</t>
  </si>
  <si>
    <t xml:space="preserve">Base, Scourge Beneficial, Synthesis</t>
  </si>
  <si>
    <t xml:space="preserve">N% chance a blow knocks the enemy back, putting its next blow off by 1 second</t>
  </si>
  <si>
    <t xml:space="preserve">enemy strike timer</t>
  </si>
  <si>
    <t xml:space="preserve">Mace, Shield</t>
  </si>
  <si>
    <t xml:space="preserve">added_blow_delay puts off only the first blow</t>
  </si>
  <si>
    <t xml:space="preserve">#% increased Stun Duration on Enemies</t>
  </si>
  <si>
    <t xml:space="preserve">(31-35)% increased Stun Duration on Enemies</t>
  </si>
  <si>
    <t xml:space="preserve">Belts, Bows, Claws, Cobalt Jewel, Crimson Jewel, Daggers, One Hand Axes, One Hand Maces, One Hand Swords, Quivers, Sceptres, Staves, Two Hand Maces, Two Hand Swords, Viridian Jewel, Wands</t>
  </si>
  <si>
    <t xml:space="preserve">A crit stuns: the enemy's next blow comes N% later</t>
  </si>
  <si>
    <t xml:space="preserve">#% increased Effect of Non-Damaging Ailments</t>
  </si>
  <si>
    <t xml:space="preserve">(14-16)% increased Effect of Non-Damaging Ailments</t>
  </si>
  <si>
    <t xml:space="preserve">Amulets, Boots, Cobalt Jewel, Crimson Jewel, Helmets, Viridian Jewel</t>
  </si>
  <si>
    <t xml:space="preserve">Corrupted, Crafting Bench, Scourge Beneficial, The Eater of Worlds</t>
  </si>
  <si>
    <t xml:space="preserve">Your blinds and cripples are N% stronger</t>
  </si>
  <si>
    <t xml:space="preserve">enemy states</t>
  </si>
  <si>
    <t xml:space="preserve">Needs the control lines above</t>
  </si>
  <si>
    <t xml:space="preserve">Attributes</t>
  </si>
  <si>
    <t xml:space="preserve"># to Strength</t>
  </si>
  <si>
    <t xml:space="preserve">+(56-60) to Strength</t>
  </si>
  <si>
    <t xml:space="preserve">+N Strength</t>
  </si>
  <si>
    <t xml:space="preserve">strength</t>
  </si>
  <si>
    <t xml:space="preserve">Any</t>
  </si>
  <si>
    <t xml:space="preserve">added_strength (and the other two)</t>
  </si>
  <si>
    <t xml:space="preserve"># to all Attributes</t>
  </si>
  <si>
    <t xml:space="preserve">+(33-35) to all Attributes</t>
  </si>
  <si>
    <t xml:space="preserve">Amulets, Body Armours, Boots, Bows, Claws, Cobalt Jewel, Crimson Jewel, Daggers, Gloves, Helmets, One Hand Axes, One Hand Maces, One Hand Swords, Quivers, Rings, Sceptres, Shields, Staves, Two Hand Maces, Two Hand Swords, Viridian Jewel, Wands</t>
  </si>
  <si>
    <t xml:space="preserve">Base, Crafting Bench, Synthesis</t>
  </si>
  <si>
    <t xml:space="preserve">+N to all Attributes</t>
  </si>
  <si>
    <t xml:space="preserve">all_attributes</t>
  </si>
  <si>
    <t xml:space="preserve">added_all_attributes</t>
  </si>
  <si>
    <t xml:space="preserve"># to Strength and Dexterity</t>
  </si>
  <si>
    <t xml:space="preserve">+(8-10) to Strength and Dexterity</t>
  </si>
  <si>
    <t xml:space="preserve">Amulets, Belts, Body Armours, Boots, Cobalt Jewel, Crimson Jewel, Gloves, Helmets, Quivers, Rings, Shields, Viridian Jewel</t>
  </si>
  <si>
    <t xml:space="preserve">Base, Crafting Bench</t>
  </si>
  <si>
    <t xml:space="preserve">+N Strength and Dexterity</t>
  </si>
  <si>
    <t xml:space="preserve">Strength-Intelligence and Dexterity-Intelligence twins; two stats a line</t>
  </si>
  <si>
    <t xml:space="preserve">#% increased Attributes</t>
  </si>
  <si>
    <t xml:space="preserve">6% increased Attributes</t>
  </si>
  <si>
    <t xml:space="preserve">Amulets, Belts, Body Armours, Rings</t>
  </si>
  <si>
    <t xml:space="preserve">Corrupted, Crafting Bench, Synthesis</t>
  </si>
  <si>
    <t xml:space="preserve">+N% increased Strength, Dexterity and Intelligence</t>
  </si>
  <si>
    <t xml:space="preserve">#% increased Strength</t>
  </si>
  <si>
    <t xml:space="preserve">(4-5)% increased Strength</t>
  </si>
  <si>
    <t xml:space="preserve">Amulets, Belts, Gloves, Helmets, Quivers, Rings, Shields</t>
  </si>
  <si>
    <t xml:space="preserve">+N% increased Strength</t>
  </si>
  <si>
    <t xml:space="preserve">Twins for the other two</t>
  </si>
  <si>
    <t xml:space="preserve">Requirements</t>
  </si>
  <si>
    <t xml:space="preserve">#% reduced Attribute Requirements</t>
  </si>
  <si>
    <t xml:space="preserve">32% reduced Attribute Requirements</t>
  </si>
  <si>
    <t xml:space="preserve">Body Armours, Boots, Bows, Claws, Daggers, Gloves, Helmets, One Hand Axes, One Hand Maces, One Hand Swords, Sceptres, Shields, Staves, Two Hand Maces, Two Hand Swords, Wands</t>
  </si>
  <si>
    <t xml:space="preserve">Base, Scourge Beneficial</t>
  </si>
  <si>
    <t xml:space="preserve">This piece needs N% less of its attribute</t>
  </si>
  <si>
    <t xml:space="preserve">LootTable.requirement</t>
  </si>
  <si>
    <t xml:space="preserve">Any but jewellery</t>
  </si>
  <si>
    <t xml:space="preserve">Local: works on the piece it is on</t>
  </si>
  <si>
    <t xml:space="preserve">Has no Attribute Requirements</t>
  </si>
  <si>
    <t xml:space="preserve">Haunted Modifiers</t>
  </si>
  <si>
    <t xml:space="preserve">Needs no attribute</t>
  </si>
  <si>
    <t xml:space="preserve">A unique, an orb's outcome</t>
  </si>
  <si>
    <t xml:space="preserve">The Leafwrap waives needs already</t>
  </si>
  <si>
    <t xml:space="preserve">Loot</t>
  </si>
  <si>
    <t xml:space="preserve">#% increased Rarity of Items found</t>
  </si>
  <si>
    <t xml:space="preserve">(25-28)% increased Rarity of Items found</t>
  </si>
  <si>
    <t xml:space="preserve">Amulets, Belts, Boots, Cobalt Jewel, Crimson Jewel, Gloves, Helmets, Rings, Viridian Jewel</t>
  </si>
  <si>
    <t xml:space="preserve">Base, Corrupted, Scourge Beneficial, Synthesis</t>
  </si>
  <si>
    <t xml:space="preserve">+N% to Item Rarity</t>
  </si>
  <si>
    <t xml:space="preserve">item_rarity</t>
  </si>
  <si>
    <t xml:space="preserve">Helmet, Ring, Amulet</t>
  </si>
  <si>
    <t xml:space="preserve">added_item_rarity</t>
  </si>
  <si>
    <t xml:space="preserve">#% increased Quantity of Items found</t>
  </si>
  <si>
    <t xml:space="preserve">(1-3)% increased Quantity of Items found</t>
  </si>
  <si>
    <t xml:space="preserve">Boots, Gloves, Helmets</t>
  </si>
  <si>
    <t xml:space="preserve">+N% to Drop Rate</t>
  </si>
  <si>
    <t xml:space="preserve">drop_rate</t>
  </si>
  <si>
    <t xml:space="preserve">added_drop_rate</t>
  </si>
  <si>
    <t xml:space="preserve">#% increased Rarity of Items Dropped by Slain Rare or Unique Enemies</t>
  </si>
  <si>
    <t xml:space="preserve">(41-45)% increased Rarity of Items Dropped by Slain Rare or Unique Enemies</t>
  </si>
  <si>
    <t xml:space="preserve">Elites and bosses drop N% rarer gear</t>
  </si>
  <si>
    <t xml:space="preserve">Helmet, Ring</t>
  </si>
  <si>
    <t xml:space="preserve">#% increased Experience gain</t>
  </si>
  <si>
    <t xml:space="preserve">2% increased Experience gain</t>
  </si>
  <si>
    <t xml:space="preserve">+N% to Experience</t>
  </si>
  <si>
    <t xml:space="preserve">xp_more</t>
  </si>
  <si>
    <t xml:space="preserve">added_experience</t>
  </si>
  <si>
    <t xml:space="preserve">#% increased Light Radius</t>
  </si>
  <si>
    <t xml:space="preserve">(26-30)% increased Light Radius</t>
  </si>
  <si>
    <t xml:space="preserve">Bows, Claws, Daggers, Helmets, One Hand Axes, One Hand Maces, One Hand Swords, Rings, Sceptres, Staves, Two Hand Maces, Two Hand Swords, Wands</t>
  </si>
  <si>
    <t xml:space="preserve">+N Sight</t>
  </si>
  <si>
    <t xml:space="preserve">sight</t>
  </si>
  <si>
    <t xml:space="preserve">Torch, Helmet</t>
  </si>
  <si>
    <t xml:space="preserve">Sight comes from a torch's material only, never a rolled line</t>
  </si>
  <si>
    <t xml:space="preserve">#% reduced Rarity of Items found</t>
  </si>
  <si>
    <t xml:space="preserve">(36-39)% reduced Rarity of Items found</t>
  </si>
  <si>
    <t xml:space="preserve">Amulets, Rings</t>
  </si>
  <si>
    <t xml:space="preserve">N% less Item Rarity</t>
  </si>
  <si>
    <t xml:space="preserve">Your Warcries open Chests</t>
  </si>
  <si>
    <t xml:space="preserve">A beaten chest holds one more item</t>
  </si>
  <si>
    <t xml:space="preserve">chests</t>
  </si>
  <si>
    <t xml:space="preserve">Adapted far; Hungry Mimics' reward does this as a curse</t>
  </si>
  <si>
    <t xml:space="preserve">Burst</t>
  </si>
  <si>
    <t xml:space="preserve">Used when Charges reach full</t>
  </si>
  <si>
    <t xml:space="preserve">Utility Flasks</t>
  </si>
  <si>
    <t xml:space="preserve">Enchant</t>
  </si>
  <si>
    <t xml:space="preserve">Every 10 kills fill a burst: your next 5 blows deal double damage</t>
  </si>
  <si>
    <t xml:space="preserve">new: kill charges</t>
  </si>
  <si>
    <t xml:space="preserve">PoE's auto-used flask; there is no flask slot, so a line carries it</t>
  </si>
  <si>
    <t xml:space="preserve">#% increased Flask Charges gained</t>
  </si>
  <si>
    <t xml:space="preserve">(35-40)% increased Flask Charges gained</t>
  </si>
  <si>
    <t xml:space="preserve">Belts</t>
  </si>
  <si>
    <t xml:space="preserve">Kills fill a burst N% faster</t>
  </si>
  <si>
    <t xml:space="preserve">kill charges</t>
  </si>
  <si>
    <t xml:space="preserve">Needs the burst above</t>
  </si>
  <si>
    <t xml:space="preserve">Crafting</t>
  </si>
  <si>
    <t xml:space="preserve">Prefixes Cannot Be Changed</t>
  </si>
  <si>
    <t xml:space="preserve">Amulets, Belts, Body Armours, Boots, Bows, Claws, Daggers, Gloves, Helmets, One Hand Axes, One Hand Maces, One Hand Swords, Quivers, Rings, Sceptres, Shields, Staves, Two Hand Maces, Two Hand Swords, Wands</t>
  </si>
  <si>
    <t xml:space="preserve">The first N lines stay through any orb</t>
  </si>
  <si>
    <t xml:space="preserve">orbs</t>
  </si>
  <si>
    <t xml:space="preserve">An orb or the fortuneteller</t>
  </si>
  <si>
    <t xml:space="preserve">Locks and Binding hold single lines today</t>
  </si>
  <si>
    <t xml:space="preserve">Can have up to # Crafted Modifiers</t>
  </si>
  <si>
    <t xml:space="preserve">Can have up to 3 Crafted Modifiers</t>
  </si>
  <si>
    <t xml:space="preserve">+1 line the smith may add</t>
  </si>
  <si>
    <t xml:space="preserve">extra_slot</t>
  </si>
  <si>
    <t xml:space="preserve">A super orb</t>
  </si>
  <si>
    <t xml:space="preserve">Expansion adds a slot today</t>
  </si>
  <si>
    <t xml:space="preserve">You can't deal Damage with your Skills yourself</t>
  </si>
  <si>
    <t xml:space="preserve">Your clicks deal no damage; your weapon's own swings deal N% more</t>
  </si>
  <si>
    <t xml:space="preserve">click/swing split</t>
  </si>
  <si>
    <t xml:space="preserve">Pacifist Hands does the first half as a curse; on a unique it pays</t>
  </si>
  <si>
    <t xml:space="preserve">PoE map modifier</t>
  </si>
  <si>
    <t xml:space="preserve">Tile modifier for Kobold Clicker</t>
  </si>
  <si>
    <t xml:space="preserve">Monsters have #% more Life</t>
  </si>
  <si>
    <t xml:space="preserve">Enemies have N% more health</t>
  </si>
  <si>
    <t xml:space="preserve">Thick-skinned; Iron Foes curse</t>
  </si>
  <si>
    <t xml:space="preserve">#% increased Monster Damage</t>
  </si>
  <si>
    <t xml:space="preserve">Enemies hit N% harder</t>
  </si>
  <si>
    <t xml:space="preserve">Brutal; Bloodthirst curse</t>
  </si>
  <si>
    <t xml:space="preserve">#% increased Monster Attack Speed</t>
  </si>
  <si>
    <t xml:space="preserve">Enemies attack N% faster</t>
  </si>
  <si>
    <t xml:space="preserve">Frenzied</t>
  </si>
  <si>
    <t xml:space="preserve">Players have #% less Armour</t>
  </si>
  <si>
    <t xml:space="preserve">Only N% of your armour counts</t>
  </si>
  <si>
    <t xml:space="preserve">Piercing</t>
  </si>
  <si>
    <t xml:space="preserve">Players have #% reduced Chance to Block</t>
  </si>
  <si>
    <t xml:space="preserve">Only N% of your block counts</t>
  </si>
  <si>
    <t xml:space="preserve">Sundering</t>
  </si>
  <si>
    <t xml:space="preserve">Monsters have #% increased Accuracy Rating</t>
  </si>
  <si>
    <t xml:space="preserve">Only N% of your dodge counts</t>
  </si>
  <si>
    <t xml:space="preserve">Keen-eyed</t>
  </si>
  <si>
    <t xml:space="preserve">#% increased Pack Size</t>
  </si>
  <si>
    <t xml:space="preserve">N more enemies on the same clock</t>
  </si>
  <si>
    <t xml:space="preserve">Horde</t>
  </si>
  <si>
    <t xml:space="preserve">Area is inhabited by # additional Rare Monsters</t>
  </si>
  <si>
    <t xml:space="preserve">One enemy in N is an elite</t>
  </si>
  <si>
    <t xml:space="preserve">Elite Ground</t>
  </si>
  <si>
    <t xml:space="preserve">Players have #% less Recovery Rate</t>
  </si>
  <si>
    <t xml:space="preserve">Only N% of your Time on Hit counts</t>
  </si>
  <si>
    <t xml:space="preserve">Miserly</t>
  </si>
  <si>
    <t xml:space="preserve">Players are Cursed with Temporal Chains</t>
  </si>
  <si>
    <t xml:space="preserve">Your weapon swings N% slower on its own</t>
  </si>
  <si>
    <t xml:space="preserve">Stillness</t>
  </si>
  <si>
    <t xml:space="preserve">Monsters Regenerate #% of Life per second</t>
  </si>
  <si>
    <t xml:space="preserve">Enemies heal N% of their health a second</t>
  </si>
  <si>
    <t xml:space="preserve">Punishes slow kills; an idle build must out-damage it</t>
  </si>
  <si>
    <t xml:space="preserve">Monsters gain #% of Maximum Life as Extra Maximum Energy Shield</t>
  </si>
  <si>
    <t xml:space="preserve">Enemies wear a shield of N% of their health that comes back after 3 seconds without a blow</t>
  </si>
  <si>
    <t xml:space="preserve">Rewards steady swings over bursts</t>
  </si>
  <si>
    <t xml:space="preserve">Monsters have #% increased Evasion Rating</t>
  </si>
  <si>
    <t xml:space="preserve">Enemies dodge N% of your blows</t>
  </si>
  <si>
    <t xml:space="preserve">Monsters take #% reduced Extra Damage from Critical Strikes</t>
  </si>
  <si>
    <t xml:space="preserve">Your crits deal N% less extra damage</t>
  </si>
  <si>
    <t xml:space="preserve">Pushes off crit builds</t>
  </si>
  <si>
    <t xml:space="preserve">Monsters have #% increased Critical Strike Chance</t>
  </si>
  <si>
    <t xml:space="preserve">One enemy blow in N lands twice as hard</t>
  </si>
  <si>
    <t xml:space="preserve">Monsters reflect #% of Physical Damage</t>
  </si>
  <si>
    <t xml:space="preserve">Each click costs N hundredths of a second</t>
  </si>
  <si>
    <t xml:space="preserve">Turns clicking into a cost; idle builds shrug</t>
  </si>
  <si>
    <t xml:space="preserve">Monsters gain an Endurance Charge on Hit</t>
  </si>
  <si>
    <t xml:space="preserve">Each blow an enemy lands makes it take 5% less damage</t>
  </si>
  <si>
    <t xml:space="preserve">Monsters have #% chance to Avoid Poison, Impale, and Bleeding</t>
  </si>
  <si>
    <t xml:space="preserve">Enemies cannot bleed or burn</t>
  </si>
  <si>
    <t xml:space="preserve">Pushes off bleed and burn builds</t>
  </si>
  <si>
    <t xml:space="preserve">Players are Cursed with Enfeeble</t>
  </si>
  <si>
    <t xml:space="preserve">You deal N% less damage</t>
  </si>
  <si>
    <t xml:space="preserve">Monsters Blind on Hit</t>
  </si>
  <si>
    <t xml:space="preserve">An enemy blow halves your Crit Chance for 4 seconds</t>
  </si>
  <si>
    <t xml:space="preserve">Monsters Poison on Hit</t>
  </si>
  <si>
    <t xml:space="preserve">Enemy blows go on costing time for 3 seconds</t>
  </si>
  <si>
    <t xml:space="preserve">Buffs on Players expire #% faster</t>
  </si>
  <si>
    <t xml:space="preserve">Your kill buffs end N% sooner</t>
  </si>
  <si>
    <t xml:space="preserve">Needs timed buffs</t>
  </si>
  <si>
    <t xml:space="preserve">Monsters steal Power, Frenzy and Endurance charges on Hit</t>
  </si>
  <si>
    <t xml:space="preserve">Enemy blows take one of your stacks</t>
  </si>
  <si>
    <t xml:space="preserve">Needs fight stacks</t>
  </si>
  <si>
    <t xml:space="preserve">Monsters cannot be Stunned</t>
  </si>
  <si>
    <t xml:space="preserve">Enemies cannot be stunned or knocked back</t>
  </si>
  <si>
    <t xml:space="preserve">Needs enemy control</t>
  </si>
  <si>
    <t xml:space="preserve">Unique Boss deals #% increased Damage</t>
  </si>
  <si>
    <t xml:space="preserve">The lair's boss hits N% harder</t>
  </si>
  <si>
    <t xml:space="preserve">For lairs</t>
  </si>
  <si>
    <t xml:space="preserve">Unique Boss has #% increased Life</t>
  </si>
  <si>
    <t xml:space="preserve">The lair's boss has N% more health</t>
  </si>
  <si>
    <t xml:space="preserve">Rare Monsters each have # additional Modifiers</t>
  </si>
  <si>
    <t xml:space="preserve">Elites carry one more affix</t>
  </si>
  <si>
    <t xml:space="preserve">Needs elite affixes</t>
  </si>
  <si>
    <t xml:space="preserve">PoE top tier</t>
  </si>
  <si>
    <t xml:space="preserve">Picked</t>
  </si>
  <si>
    <t xml:space="preserve"># Dexterity Requirement</t>
  </si>
  <si>
    <t xml:space="preserve">+(150-200) Dexterity Requirement</t>
  </si>
  <si>
    <t xml:space="preserve">Body Armours, Boots, Bows, Claws, Daggers, Gloves, Helmets, One Hand Axes, One Hand Swords, Shields, Two Hand Swords</t>
  </si>
  <si>
    <t xml:space="preserve"># Intelligence Requirement</t>
  </si>
  <si>
    <t xml:space="preserve">+(150-200) Intelligence Requirement</t>
  </si>
  <si>
    <t xml:space="preserve">Body Armours, Boots, Claws, Daggers, Gloves, Helmets, Sceptres, Shields, Staves, Wands</t>
  </si>
  <si>
    <t xml:space="preserve"># Strength Requirement</t>
  </si>
  <si>
    <t xml:space="preserve">+(150-200) Strength Requirement</t>
  </si>
  <si>
    <t xml:space="preserve">Body Armours, Boots, Gloves, Helmets, One Hand Axes, One Hand Maces, One Hand Swords, Sceptres, Shields, Staves, Two Hand Maces, Two Hand Swords</t>
  </si>
  <si>
    <t xml:space="preserve"># metres to Melee Strike Range</t>
  </si>
  <si>
    <t xml:space="preserve">+0.1 metres to Melee Strike Range</t>
  </si>
  <si>
    <t xml:space="preserve"># metres to Weapon Range</t>
  </si>
  <si>
    <t xml:space="preserve">+0.3 metres to Weapon Range</t>
  </si>
  <si>
    <t xml:space="preserve">Claws, Daggers, One Hand Axes, One Hand Maces, One Hand Swords, Sceptres, Staves, Two Hand Maces, Two Hand Swords</t>
  </si>
  <si>
    <t xml:space="preserve"># to Accuracy Rating</t>
  </si>
  <si>
    <t xml:space="preserve">+(625-780) to Accuracy Rating</t>
  </si>
  <si>
    <t xml:space="preserve">Amulets, Bows, Claws, Cobalt Jewel, Crimson Jewel, Daggers, Gloves, Helmets, One Hand Axes, One Hand Maces, One Hand Swords, Quivers, Rings, Sceptres, Shields, Staves, Two Hand Maces, Two Hand Swords, Viridian Jewel, Wands</t>
  </si>
  <si>
    <t xml:space="preserve">Base, Crafting Bench, Essence, Synthesis</t>
  </si>
  <si>
    <t xml:space="preserve"># to Accuracy Rating per # Dexterity</t>
  </si>
  <si>
    <t xml:space="preserve">+2 to Accuracy Rating per 2 Dexterity</t>
  </si>
  <si>
    <t xml:space="preserve"># to Accuracy Rating per Frenzy Charge</t>
  </si>
  <si>
    <t xml:space="preserve">+(43-45) to Accuracy Rating per Frenzy Charge</t>
  </si>
  <si>
    <t xml:space="preserve"># to Armour and Evasion Rating</t>
  </si>
  <si>
    <t xml:space="preserve">+(214-285) to Armour and Evasion Rating</t>
  </si>
  <si>
    <t xml:space="preserve">Belts, Quivers</t>
  </si>
  <si>
    <t xml:space="preserve"># to Armour and Evasion Rating while Fortified</t>
  </si>
  <si>
    <t xml:space="preserve">+800 to Armour and Evasion Rating while Fortified</t>
  </si>
  <si>
    <t xml:space="preserve"># to Armour if you've Hit an Enemy Recently</t>
  </si>
  <si>
    <t xml:space="preserve">+500 to Armour if you've Hit an Enemy Recently</t>
  </si>
  <si>
    <t xml:space="preserve">Cobalt Jewel, Crimson Jewel, One Hand Axes, One Hand Maces, One Hand Swords, Sceptres, Staves, Two Hand Maces, Two Hand Swords, Viridian Jewel</t>
  </si>
  <si>
    <t xml:space="preserve"># to Dexterity</t>
  </si>
  <si>
    <t xml:space="preserve">+(56-60) to Dexterity</t>
  </si>
  <si>
    <t xml:space="preserve"># to Dexterity / #% chance to Avoid being Frozen</t>
  </si>
  <si>
    <t xml:space="preserve">+(21-25) to Dexterity / (21-25)% chance to Avoid being Frozen</t>
  </si>
  <si>
    <t xml:space="preserve"># to Dexterity and Intelligence</t>
  </si>
  <si>
    <t xml:space="preserve">+(8-10) to Dexterity and Intelligence</t>
  </si>
  <si>
    <t xml:space="preserve"># to Dexterity and Intelligence / #% increased Attack Speed</t>
  </si>
  <si>
    <t xml:space="preserve">+(20-24) to Dexterity and Intelligence / (13-16)% increased Attack Speed</t>
  </si>
  <si>
    <t xml:space="preserve"># to Evasion Rating if Hit an Enemy Recently</t>
  </si>
  <si>
    <t xml:space="preserve">+500 to Evasion Rating if Hit an Enemy Recently</t>
  </si>
  <si>
    <t xml:space="preserve">Bows, Claws, Cobalt Jewel, Crimson Jewel, Daggers, One Hand Axes, One Hand Swords, Two Hand Swords, Viridian Jewel</t>
  </si>
  <si>
    <t xml:space="preserve"># to Intelligence</t>
  </si>
  <si>
    <t xml:space="preserve">+(56-60) to Intelligence</t>
  </si>
  <si>
    <t xml:space="preserve"># to Maximum Charges</t>
  </si>
  <si>
    <t xml:space="preserve">+(32-35) to Maximum Charges</t>
  </si>
  <si>
    <t xml:space="preserve">Life Flasks, Utility Flasks</t>
  </si>
  <si>
    <t xml:space="preserve"># to Maximum Charges / Gains no Charges during Effect</t>
  </si>
  <si>
    <t xml:space="preserve">+(40-60) to Maximum Charges / Gains no Charges during Effect</t>
  </si>
  <si>
    <t xml:space="preserve"># to Maximum Endurance Charges</t>
  </si>
  <si>
    <t xml:space="preserve">+1 to Maximum Endurance Charges</t>
  </si>
  <si>
    <t xml:space="preserve">Boots, Rings, Shields, Staves, Two Hand Maces, Two Hand Swords</t>
  </si>
  <si>
    <t xml:space="preserve"># to Maximum Power Charges</t>
  </si>
  <si>
    <t xml:space="preserve">+1 to Maximum Power Charges</t>
  </si>
  <si>
    <t xml:space="preserve">Helmets, Rings, Shields, Staves</t>
  </si>
  <si>
    <t xml:space="preserve"># to Minimum Endurance Charges</t>
  </si>
  <si>
    <t xml:space="preserve">+1 to Minimum Endurance Charges</t>
  </si>
  <si>
    <t xml:space="preserve">Amulets, Rings, Shields</t>
  </si>
  <si>
    <t xml:space="preserve">Corrupted, Crafting Bench, Scourge Beneficial, Synthesis</t>
  </si>
  <si>
    <t xml:space="preserve"># to Minimum Frenzy Charges</t>
  </si>
  <si>
    <t xml:space="preserve">+1 to Minimum Frenzy Charges</t>
  </si>
  <si>
    <t xml:space="preserve"># to Minimum Power Charges</t>
  </si>
  <si>
    <t xml:space="preserve">+1 to Minimum Power Charges</t>
  </si>
  <si>
    <t xml:space="preserve"># to Strength and Dexterity / # to Accuracy Rating</t>
  </si>
  <si>
    <t xml:space="preserve">+(20-24) to Strength and Dexterity / +(201-250) to Accuracy Rating</t>
  </si>
  <si>
    <t xml:space="preserve"># to Strength and Intelligence</t>
  </si>
  <si>
    <t xml:space="preserve">+(8-10) to Strength and Intelligence</t>
  </si>
  <si>
    <t xml:space="preserve"># to Strength and Intelligence / #% increased Critical Strike Chance</t>
  </si>
  <si>
    <t xml:space="preserve">+(20-24) to Strength and Intelligence / (21-25)% increased Critical Strike Chance</t>
  </si>
  <si>
    <t xml:space="preserve"># to maximum Fortification</t>
  </si>
  <si>
    <t xml:space="preserve">+3 to maximum Fortification</t>
  </si>
  <si>
    <t xml:space="preserve">Body Armours, Helmets</t>
  </si>
  <si>
    <t xml:space="preserve">#% Chance to Avoid being Stunned during Effect</t>
  </si>
  <si>
    <t xml:space="preserve">(51-55)% Chance to Avoid being Stunned during Effect</t>
  </si>
  <si>
    <t xml:space="preserve">#% Chance to Block Attack Damage while holding a Shield</t>
  </si>
  <si>
    <t xml:space="preserve">+(2-3)% Chance to Block Attack Damage while holding a Shield</t>
  </si>
  <si>
    <t xml:space="preserve">#% Chance to Block Attack Damage while wielding a Staff</t>
  </si>
  <si>
    <t xml:space="preserve">+(2-3)% Chance to Block Attack Damage while wielding a Staff</t>
  </si>
  <si>
    <t xml:space="preserve">Cobalt Jewel, Crimson Jewel</t>
  </si>
  <si>
    <t xml:space="preserve">#% additional Physical Damage Reduction</t>
  </si>
  <si>
    <t xml:space="preserve">8% additional Physical Damage Reduction</t>
  </si>
  <si>
    <t xml:space="preserve">Body Armours, Helmets, Quivers, Shields</t>
  </si>
  <si>
    <t xml:space="preserve">Base, Crafting Bench, Delve</t>
  </si>
  <si>
    <t xml:space="preserve">#% chance for Poisons inflicted with this Weapon to deal #% more Damage</t>
  </si>
  <si>
    <t xml:space="preserve">60% chance for Poisons inflicted with this Weapon to deal 100% more Damage</t>
  </si>
  <si>
    <t xml:space="preserve">#% chance to Aggravate Bleeding on targets you Hit with Attacks</t>
  </si>
  <si>
    <t xml:space="preserve">5% chance to Aggravate Bleeding on targets you Hit with Attacks</t>
  </si>
  <si>
    <t xml:space="preserve">#% chance to Avoid Bleeding</t>
  </si>
  <si>
    <t xml:space="preserve">(33-35)% chance to Avoid Bleeding</t>
  </si>
  <si>
    <t xml:space="preserve">Body Armours, Boots, Helmets, Rings, Shields</t>
  </si>
  <si>
    <t xml:space="preserve">Crafting Bench, Delve, Scourge Beneficial, Synthesis, The Eater of Worlds</t>
  </si>
  <si>
    <t xml:space="preserve">#% chance to Avoid being Frozen</t>
  </si>
  <si>
    <t xml:space="preserve">100% chance to Avoid being Frozen</t>
  </si>
  <si>
    <t xml:space="preserve">Amulets, Belts, Boots, Helmets</t>
  </si>
  <si>
    <t xml:space="preserve">Crafting Bench, Essence, Haunted Modifiers, Synthesis, The Searing Exarch</t>
  </si>
  <si>
    <t xml:space="preserve">#% chance to Avoid being Poisoned</t>
  </si>
  <si>
    <t xml:space="preserve">(33-35)% chance to Avoid being Poisoned</t>
  </si>
  <si>
    <t xml:space="preserve">Delve, Scourge Beneficial, Synthesis, The Eater of Worlds</t>
  </si>
  <si>
    <t xml:space="preserve">#% chance to Avoid being Stunned</t>
  </si>
  <si>
    <t xml:space="preserve">(31-44)% chance to Avoid being Stunned</t>
  </si>
  <si>
    <t xml:space="preserve">Belts, Body Armours, Boots, Cobalt Jewel, Crimson Jewel, Gloves, Helmets, Shields, Viridian Jewel</t>
  </si>
  <si>
    <t xml:space="preserve">Crafting Bench, Essence, Scourge Beneficial, Synthesis, The Searing Exarch</t>
  </si>
  <si>
    <t xml:space="preserve">#% chance to Crush on Hit</t>
  </si>
  <si>
    <t xml:space="preserve">(15-25)% chance to Crush on Hit</t>
  </si>
  <si>
    <t xml:space="preserve">#% chance to Evade Attack Hits</t>
  </si>
  <si>
    <t xml:space="preserve">+(1-2)% chance to Evade Attack Hits</t>
  </si>
  <si>
    <t xml:space="preserve">Amulets, Belts, Quivers, Rings</t>
  </si>
  <si>
    <t xml:space="preserve">#% chance to Extinguish Enemies on Hit</t>
  </si>
  <si>
    <t xml:space="preserve">15% chance to Extinguish Enemies on Hit</t>
  </si>
  <si>
    <t xml:space="preserve">#% chance to Intimidate Enemies for # seconds on Hit</t>
  </si>
  <si>
    <t xml:space="preserve">15% chance to Intimidate Enemies for 4 seconds on Hit</t>
  </si>
  <si>
    <t xml:space="preserve">Belts, Bows, Claws, Daggers, Gloves, One Hand Axes, One Hand Maces, One Hand Swords, Sceptres, Staves, Two Hand Maces, Two Hand Swords, Wands</t>
  </si>
  <si>
    <t xml:space="preserve">Delve, Scourge Beneficial, Synthesis, The Searing Exarch</t>
  </si>
  <si>
    <t xml:space="preserve">#% chance to Intimidate Enemies for # seconds on Hit with Attacks</t>
  </si>
  <si>
    <t xml:space="preserve">(15-25)% chance to Intimidate Enemies for 4 seconds on Hit with Attacks</t>
  </si>
  <si>
    <t xml:space="preserve">#% chance to Taunt Enemies on Hit with Attacks</t>
  </si>
  <si>
    <t xml:space="preserve">(16-20)% chance to Taunt Enemies on Hit with Attacks</t>
  </si>
  <si>
    <t xml:space="preserve">#% chance to Trigger Level # Blood Rage when you Kill an Enemy / #% increased Attack Speed</t>
  </si>
  <si>
    <t xml:space="preserve">10% chance to Trigger Level 1 Blood Rage when you Kill an Enemy / (13-16)% increased Attack Speed</t>
  </si>
  <si>
    <t xml:space="preserve">#% chance to Unnerve Enemies for # seconds on Hit</t>
  </si>
  <si>
    <t xml:space="preserve">15% chance to Unnerve Enemies for 4 seconds on Hit</t>
  </si>
  <si>
    <t xml:space="preserve">Gloves, Helmets</t>
  </si>
  <si>
    <t xml:space="preserve">Scourge Beneficial, The Searing Exarch</t>
  </si>
  <si>
    <t xml:space="preserve">#% chance to deal Double Damage against Enemies for each type of Ailment you have inflicted on them</t>
  </si>
  <si>
    <t xml:space="preserve">1% chance to deal Double Damage against Enemies for each type of Ailment you have inflicted on them</t>
  </si>
  <si>
    <t xml:space="preserve">#% chance to gain a Frenzy Charge on Hit</t>
  </si>
  <si>
    <t xml:space="preserve">10% chance to gain a Frenzy Charge on Hit</t>
  </si>
  <si>
    <t xml:space="preserve">#% chance to gain a Frenzy Charge when you Hit a Rare or Unique Enemy</t>
  </si>
  <si>
    <t xml:space="preserve">(3-5)% chance to gain a Frenzy Charge when you Hit a Rare or Unique Enemy</t>
  </si>
  <si>
    <t xml:space="preserve">#% chance to gain a Power Charge on Kill</t>
  </si>
  <si>
    <t xml:space="preserve">(9-10)% chance to gain a Power Charge on Kill</t>
  </si>
  <si>
    <t xml:space="preserve">#% chance to gain a Power Charge when you Block</t>
  </si>
  <si>
    <t xml:space="preserve">25% chance to gain a Power Charge when you Block</t>
  </si>
  <si>
    <t xml:space="preserve">Shields</t>
  </si>
  <si>
    <t xml:space="preserve">#% chance to gain a Power, Frenzy or Endurance Charge on Kill</t>
  </si>
  <si>
    <t xml:space="preserve">16% chance to gain a Power, Frenzy or Endurance Charge on Kill</t>
  </si>
  <si>
    <t xml:space="preserve">#% chance to gain an Endurance Charge when you Stun an Enemy</t>
  </si>
  <si>
    <t xml:space="preserve">(5-7)% chance to gain an Endurance Charge when you Stun an Enemy</t>
  </si>
  <si>
    <t xml:space="preserve">One Hand Maces, Sceptres, Staves, Two Hand Maces</t>
  </si>
  <si>
    <t xml:space="preserve">#% increased Amount Recovered / #% reduced Recovery rate</t>
  </si>
  <si>
    <t xml:space="preserve">(65-70)% increased Amount Recovered / 33% reduced Recovery rate</t>
  </si>
  <si>
    <t xml:space="preserve">Life Flasks</t>
  </si>
  <si>
    <t xml:space="preserve">#% increased Area Damage</t>
  </si>
  <si>
    <t xml:space="preserve">(10-12)% increased Area Damage</t>
  </si>
  <si>
    <t xml:space="preserve">Amulets, Cobalt Jewel, Crimson Jewel, Viridian Jewel</t>
  </si>
  <si>
    <t xml:space="preserve">#% increased Area of Effect</t>
  </si>
  <si>
    <t xml:space="preserve">(7-8)% increased Area of Effect</t>
  </si>
  <si>
    <t xml:space="preserve">Amulets, Belts, Body Armours, Cobalt Jewel, Crimson Jewel, Helmets, One Hand Axes, One Hand Maces, One Hand Swords, Sceptres, Staves, Two Hand Maces, Two Hand Swords, Viridian Jewel, Wands</t>
  </si>
  <si>
    <t xml:space="preserve">Corrupted, Essence, Haunted Modifiers, Scourge Beneficial, Synthesis, The Searing Exarch</t>
  </si>
  <si>
    <t xml:space="preserve">#% increased Area of Effect / #% increased Area Damage</t>
  </si>
  <si>
    <t xml:space="preserve">(10-12)% increased Area of Effect / (14-16)% increased Area Damage</t>
  </si>
  <si>
    <t xml:space="preserve">#% increased Area of Effect if you have Stunned an Enemy Recently</t>
  </si>
  <si>
    <t xml:space="preserve">(20-25)% increased Area of Effect if you have Stunned an Enemy Recently</t>
  </si>
  <si>
    <t xml:space="preserve">#% increased Armour / #% increased Stun and Block Recovery</t>
  </si>
  <si>
    <t xml:space="preserve">(39-42)% increased Armour / (16-17)% increased Stun and Block Recovery</t>
  </si>
  <si>
    <t xml:space="preserve">#% increased Armour during Effect</t>
  </si>
  <si>
    <t xml:space="preserve">(56-60)% increased Armour during Effect</t>
  </si>
  <si>
    <t xml:space="preserve">#% increased Armour from Equipped Helmet and Gloves</t>
  </si>
  <si>
    <t xml:space="preserve">(33-35)% increased Armour from Equipped Helmet and Gloves</t>
  </si>
  <si>
    <t xml:space="preserve">#% increased Attack Damage</t>
  </si>
  <si>
    <t xml:space="preserve">(14-16)% increased Attack Damage</t>
  </si>
  <si>
    <t xml:space="preserve">Amulets, Body Armours, Bows, Claws, Daggers, Helmets, One Hand Axes, One Hand Maces, One Hand Swords, Sceptres, Shields, Staves, Two Hand Maces, Two Hand Swords, Wands</t>
  </si>
  <si>
    <t xml:space="preserve">#% increased Attack Damage if Corrupted</t>
  </si>
  <si>
    <t xml:space="preserve">(40-50)% increased Attack Damage if Corrupted</t>
  </si>
  <si>
    <t xml:space="preserve">Bows, Claws, Cobalt Jewel, Crimson Jewel, Daggers, One Hand Axes, One Hand Maces, One Hand Swords, Sceptres, Staves, Two Hand Maces, Two Hand Swords, Viridian Jewel, Wands</t>
  </si>
  <si>
    <t xml:space="preserve">#% increased Attack Speed with Axes</t>
  </si>
  <si>
    <t xml:space="preserve">(6-8)% increased Attack Speed with Axes</t>
  </si>
  <si>
    <t xml:space="preserve">#% increased Attack Speed with Claws</t>
  </si>
  <si>
    <t xml:space="preserve">(6-8)% increased Attack Speed with Claws</t>
  </si>
  <si>
    <t xml:space="preserve">#% increased Attack Speed with Maces or Sceptres</t>
  </si>
  <si>
    <t xml:space="preserve">(6-8)% increased Attack Speed with Maces or Sceptres</t>
  </si>
  <si>
    <t xml:space="preserve">#% increased Attack Speed with One Handed Melee Weapons</t>
  </si>
  <si>
    <t xml:space="preserve">(4-6)% increased Attack Speed with One Handed Melee Weapons</t>
  </si>
  <si>
    <t xml:space="preserve">#% increased Attack Speed with Staves</t>
  </si>
  <si>
    <t xml:space="preserve">(6-8)% increased Attack Speed with Staves</t>
  </si>
  <si>
    <t xml:space="preserve">#% increased Attack Speed with Swords</t>
  </si>
  <si>
    <t xml:space="preserve">(6-8)% increased Attack Speed with Swords</t>
  </si>
  <si>
    <t xml:space="preserve">#% increased Attack Speed with Two Handed Melee Weapons</t>
  </si>
  <si>
    <t xml:space="preserve">(4-6)% increased Attack Speed with Two Handed Melee Weapons</t>
  </si>
  <si>
    <t xml:space="preserve">#% increased Blind Effect</t>
  </si>
  <si>
    <t xml:space="preserve">(6-7)% increased Blind Effect</t>
  </si>
  <si>
    <t xml:space="preserve">#% increased Block and Stun Recovery during Effect</t>
  </si>
  <si>
    <t xml:space="preserve">(75-80)% increased Block and Stun Recovery during Effect</t>
  </si>
  <si>
    <t xml:space="preserve">#% increased Chance to Block</t>
  </si>
  <si>
    <t xml:space="preserve">(76-81)% increased Chance to Block</t>
  </si>
  <si>
    <t xml:space="preserve">Base, Corrupted, Crafting Bench, Essence</t>
  </si>
  <si>
    <t xml:space="preserve">#% increased Charge Recovery</t>
  </si>
  <si>
    <t xml:space="preserve">(46-50)% increased Charge Recovery</t>
  </si>
  <si>
    <t xml:space="preserve">#% increased Charge Recovery / #% reduced effect</t>
  </si>
  <si>
    <t xml:space="preserve">(61-66)% increased Charge Recovery / 25% reduced effect</t>
  </si>
  <si>
    <t xml:space="preserve">#% increased Charge Recovery / Gains no Charges during Effect</t>
  </si>
  <si>
    <t xml:space="preserve">(60-80)% increased Charge Recovery / Gains no Charges during Effect</t>
  </si>
  <si>
    <t xml:space="preserve">#% increased Charges per use / #% increased Amount Recovered</t>
  </si>
  <si>
    <t xml:space="preserve">(20-25)% increased Charges per use / (45-50)% increased Amount Recovered</t>
  </si>
  <si>
    <t xml:space="preserve">#% increased Cooldown Recovery Rate of Travel Skills</t>
  </si>
  <si>
    <t xml:space="preserve">(15-17)% increased Cooldown Recovery Rate of Travel Skills</t>
  </si>
  <si>
    <t xml:space="preserve">#% increased Critical Strike Chance during Effect</t>
  </si>
  <si>
    <t xml:space="preserve">(50-55)% increased Critical Strike Chance during Effect</t>
  </si>
  <si>
    <t xml:space="preserve">#% increased Critical Strike Chance for Attacks</t>
  </si>
  <si>
    <t xml:space="preserve">(19-21)% increased Critical Strike Chance for Attacks</t>
  </si>
  <si>
    <t xml:space="preserve">#% increased Critical Strike Chance with One Handed Melee Weapons</t>
  </si>
  <si>
    <t xml:space="preserve">(14-18)% increased Critical Strike Chance with One Handed Melee Weapons</t>
  </si>
  <si>
    <t xml:space="preserve">#% increased Critical Strike Chance with Two Handed Melee Weapons</t>
  </si>
  <si>
    <t xml:space="preserve">(14-18)% increased Critical Strike Chance with Two Handed Melee Weapons</t>
  </si>
  <si>
    <t xml:space="preserve">#% increased Damage over Time</t>
  </si>
  <si>
    <t xml:space="preserve">(10-12)% increased Damage over Time</t>
  </si>
  <si>
    <t xml:space="preserve">#% increased Damage per # Dexterity</t>
  </si>
  <si>
    <t xml:space="preserve">3% increased Damage per 100 Dexterity</t>
  </si>
  <si>
    <t xml:space="preserve">#% increased Damage per # Intelligence</t>
  </si>
  <si>
    <t xml:space="preserve">3% increased Damage per 100 Intelligence</t>
  </si>
  <si>
    <t xml:space="preserve">#% increased Damage per Endurance Charge</t>
  </si>
  <si>
    <t xml:space="preserve">4% increased Damage per Endurance Charge</t>
  </si>
  <si>
    <t xml:space="preserve">Amulets, Boots, Bows, Claws, Daggers, One Hand Axes, One Hand Maces, One Hand Swords, Sceptres, Staves, Two Hand Maces, Two Hand Swords, Wands</t>
  </si>
  <si>
    <t xml:space="preserve">#% increased Damage with Ailments</t>
  </si>
  <si>
    <t xml:space="preserve">(15-16)% increased Damage with Ailments</t>
  </si>
  <si>
    <t xml:space="preserve">Amulets, Belts, Cobalt Jewel, Crimson Jewel, Quivers, Rings, Viridian Jewel</t>
  </si>
  <si>
    <t xml:space="preserve">#% increased Damage with Axes</t>
  </si>
  <si>
    <t xml:space="preserve">(14-16)% increased Damage with Axes</t>
  </si>
  <si>
    <t xml:space="preserve">#% increased Damage with Claws</t>
  </si>
  <si>
    <t xml:space="preserve">(14-16)% increased Damage with Claws</t>
  </si>
  <si>
    <t xml:space="preserve">Viridian Jewel</t>
  </si>
  <si>
    <t xml:space="preserve">#% increased Damage with Daggers</t>
  </si>
  <si>
    <t xml:space="preserve">(14-16)% increased Damage with Daggers</t>
  </si>
  <si>
    <t xml:space="preserve">#% increased Damage with Maces or Sceptres</t>
  </si>
  <si>
    <t xml:space="preserve">(14-16)% increased Damage with Maces or Sceptres</t>
  </si>
  <si>
    <t xml:space="preserve">Crimson Jewel</t>
  </si>
  <si>
    <t xml:space="preserve">#% increased Damage with One Handed Weapons</t>
  </si>
  <si>
    <t xml:space="preserve">(12-14)% increased Damage with One Handed Weapons</t>
  </si>
  <si>
    <t xml:space="preserve">#% increased Damage with Staves</t>
  </si>
  <si>
    <t xml:space="preserve">(14-16)% increased Damage with Staves</t>
  </si>
  <si>
    <t xml:space="preserve">#% increased Dexterity</t>
  </si>
  <si>
    <t xml:space="preserve">(4-5)% increased Dexterity</t>
  </si>
  <si>
    <t xml:space="preserve">Amulets, Belts, Boots, Helmets, Rings, Shields</t>
  </si>
  <si>
    <t xml:space="preserve">#% increased Dexterity / #% increased Intelligence</t>
  </si>
  <si>
    <t xml:space="preserve">(4-6)% increased Dexterity / (4-6)% increased Intelligence</t>
  </si>
  <si>
    <t xml:space="preserve">Amulets, Belts, Rings</t>
  </si>
  <si>
    <t xml:space="preserve">#% increased Duration</t>
  </si>
  <si>
    <t xml:space="preserve">(36-40)% increased Duration</t>
  </si>
  <si>
    <t xml:space="preserve">#% increased Duration / Gains no Charges during Effect</t>
  </si>
  <si>
    <t xml:space="preserve">(80-100)% increased Duration / Gains no Charges during Effect</t>
  </si>
  <si>
    <t xml:space="preserve">#% increased Duration of Ailments of types you haven't inflicted Recently</t>
  </si>
  <si>
    <t xml:space="preserve">(40-60)% increased Duration of Ailments of types you haven't inflicted Recently</t>
  </si>
  <si>
    <t xml:space="preserve">#% increased Duration of Ailments on Enemies</t>
  </si>
  <si>
    <t xml:space="preserve">(13-14)% increased Duration of Ailments on Enemies</t>
  </si>
  <si>
    <t xml:space="preserve">Amulets, Gloves, Helmets</t>
  </si>
  <si>
    <t xml:space="preserve">Scourge Beneficial, The Eater of Worlds</t>
  </si>
  <si>
    <t xml:space="preserve">#% increased Elusive Effect</t>
  </si>
  <si>
    <t xml:space="preserve">(6-7)% increased Elusive Effect</t>
  </si>
  <si>
    <t xml:space="preserve">#% increased Endurance Charge Duration</t>
  </si>
  <si>
    <t xml:space="preserve">(12-15)% increased Endurance Charge Duration</t>
  </si>
  <si>
    <t xml:space="preserve">Amulets, Bows, Claws, Daggers, One Hand Axes, One Hand Maces, One Hand Swords, Rings, Sceptres, Staves, Two Hand Maces, Two Hand Swords, Wands</t>
  </si>
  <si>
    <t xml:space="preserve">#% increased Evasion Rating / #% increased Stun and Block Recovery</t>
  </si>
  <si>
    <t xml:space="preserve">(39-42)% increased Evasion Rating / (16-17)% increased Stun and Block Recovery</t>
  </si>
  <si>
    <t xml:space="preserve">#% increased Evasion Rating during Effect</t>
  </si>
  <si>
    <t xml:space="preserve">(56-60)% increased Evasion Rating during Effect</t>
  </si>
  <si>
    <t xml:space="preserve">#% increased Evasion Rating from Equipped Helmet and Boots</t>
  </si>
  <si>
    <t xml:space="preserve">(33-35)% increased Evasion Rating from Equipped Helmet and Boots</t>
  </si>
  <si>
    <t xml:space="preserve">#% increased Evasion Rating per Frenzy Charge</t>
  </si>
  <si>
    <t xml:space="preserve">6% increased Evasion Rating per Frenzy Charge</t>
  </si>
  <si>
    <t xml:space="preserve">Belts, Rings</t>
  </si>
  <si>
    <t xml:space="preserve">#% increased Frenzy Charge Duration</t>
  </si>
  <si>
    <t xml:space="preserve">(12-15)% increased Frenzy Charge Duration</t>
  </si>
  <si>
    <t xml:space="preserve">#% increased Global Accuracy Rating</t>
  </si>
  <si>
    <t xml:space="preserve">(10-14)% increased Global Accuracy Rating</t>
  </si>
  <si>
    <t xml:space="preserve">Amulets, Bows, Claws, Daggers, Gloves, Helmets, One Hand Axes, One Hand Maces, One Hand Swords, Quivers, Rings, Sceptres, Shields, Staves, Two Hand Maces, Two Hand Swords, Viridian Jewel, Wands</t>
  </si>
  <si>
    <t xml:space="preserve">Base, Scourge Beneficial, Synthesis, The Eater of Worlds</t>
  </si>
  <si>
    <t xml:space="preserve">#% increased Global Accuracy Rating / #% increased Global Critical Strike Chance</t>
  </si>
  <si>
    <t xml:space="preserve">(6-10)% increased Global Accuracy Rating / (6-10)% increased Global Critical Strike Chance</t>
  </si>
  <si>
    <t xml:space="preserve">#% increased Global Accuracy Rating / #% increased Light Radius</t>
  </si>
  <si>
    <t xml:space="preserve">(16-20)% increased Global Accuracy Rating / 15% increased Light Radius</t>
  </si>
  <si>
    <t xml:space="preserve">#% increased Global Critical Strike Chance / #% chance to gain a Frenzy Charge on Critical Strike</t>
  </si>
  <si>
    <t xml:space="preserve">(13-14)% increased Global Critical Strike Chance / 5% chance to gain a Frenzy Charge on Critical Strike</t>
  </si>
  <si>
    <t xml:space="preserve">#% increased Global Critical Strike Chance / #% to Critical Strike Multiplier if you've Shattered an Enemy Recently</t>
  </si>
  <si>
    <t xml:space="preserve">(14-16)% increased Global Critical Strike Chance / +(21-23)% to Critical Strike Multiplier if you've Shattered an Enemy Recently</t>
  </si>
  <si>
    <t xml:space="preserve">#% increased Global Critical Strike Chance if Corrupted</t>
  </si>
  <si>
    <t xml:space="preserve">(40-50)% increased Global Critical Strike Chance if Corrupted</t>
  </si>
  <si>
    <t xml:space="preserve">#% increased Global Physical Damage</t>
  </si>
  <si>
    <t xml:space="preserve">(14-16)% increased Global Physical Damage</t>
  </si>
  <si>
    <t xml:space="preserve">Amulets, Belts, Body Armours, Bows, Claws, Cobalt Jewel, Crimson Jewel, Daggers, Gloves, One Hand Axes, One Hand Maces, One Hand Swords, Quivers, Rings, Sceptres, Shields, Staves, Two Hand Maces, Two Hand Swords, Viridian Jewel, Wands</t>
  </si>
  <si>
    <t xml:space="preserve">Base, Crafting Bench, Delve, Scourge Beneficial, Synthesis, The Searing Exarch</t>
  </si>
  <si>
    <t xml:space="preserve">#% increased Intelligence</t>
  </si>
  <si>
    <t xml:space="preserve">(4-5)% increased Intelligence</t>
  </si>
  <si>
    <t xml:space="preserve">Amulets, Belts, Boots, Gloves, Quivers, Rings, Shields</t>
  </si>
  <si>
    <t xml:space="preserve">#% increased Melee Critical Strike Chance</t>
  </si>
  <si>
    <t xml:space="preserve">(10-14)% increased Melee Critical Strike Chance</t>
  </si>
  <si>
    <t xml:space="preserve">#% increased Melee Damage</t>
  </si>
  <si>
    <t xml:space="preserve">(10-12)% increased Melee Damage</t>
  </si>
  <si>
    <t xml:space="preserve">#% increased Melee Damage / # metres to Melee Strike Range</t>
  </si>
  <si>
    <t xml:space="preserve">(14-16)% increased Melee Damage / +0.1 metres to Melee Strike Range</t>
  </si>
  <si>
    <t xml:space="preserve">#% increased Melee Weapon Attack Speed</t>
  </si>
  <si>
    <t xml:space="preserve">(25-29)% increased Melee Weapon Attack Speed</t>
  </si>
  <si>
    <t xml:space="preserve">Tinctures</t>
  </si>
  <si>
    <t xml:space="preserve">#% increased Movement Speed / #% chance to Avoid Bleeding</t>
  </si>
  <si>
    <t xml:space="preserve">30% increased Movement Speed / (10-15)% chance to Avoid Bleeding</t>
  </si>
  <si>
    <t xml:space="preserve">Incursion</t>
  </si>
  <si>
    <t xml:space="preserve">#% increased Movement Speed / #% chance to Avoid being Poisoned</t>
  </si>
  <si>
    <t xml:space="preserve">30% increased Movement Speed / (10-15)% chance to Avoid being Poisoned</t>
  </si>
  <si>
    <t xml:space="preserve">#% increased Movement Speed / #% chance to gain Onslaught for # seconds on Kill</t>
  </si>
  <si>
    <t xml:space="preserve">(18-20)% increased Movement Speed / (8-12)% chance to gain Onslaught for 4 seconds on Kill</t>
  </si>
  <si>
    <t xml:space="preserve">#% increased Movement Speed / #% increased Movement Speed if you haven't been Hit Recently</t>
  </si>
  <si>
    <t xml:space="preserve">(18-20)% increased Movement Speed / (6-9)% increased Movement Speed if you haven't been Hit Recently</t>
  </si>
  <si>
    <t xml:space="preserve">Crafting Bench, Incursion</t>
  </si>
  <si>
    <t xml:space="preserve">#% increased Movement Speed during Effect</t>
  </si>
  <si>
    <t xml:space="preserve">(12-14)% increased Movement Speed during Effect</t>
  </si>
  <si>
    <t xml:space="preserve">#% increased Movement Speed for each nearby Enemy, up to a maximum of #%</t>
  </si>
  <si>
    <t xml:space="preserve">5% increased Movement Speed for each nearby Enemy, up to a maximum of 50%</t>
  </si>
  <si>
    <t xml:space="preserve">#% increased Movement Speed if Corrupted</t>
  </si>
  <si>
    <t xml:space="preserve">(5-7)% increased Movement Speed if Corrupted</t>
  </si>
  <si>
    <t xml:space="preserve">#% increased Movement Speed if you've Hit an Enemy Recently</t>
  </si>
  <si>
    <t xml:space="preserve">(4-6)% increased Movement Speed if you've Hit an Enemy Recently</t>
  </si>
  <si>
    <t xml:space="preserve">#% increased Physical Damage / # to Accuracy Rating</t>
  </si>
  <si>
    <t xml:space="preserve">(75-79)% increased Physical Damage / +(175-200) to Accuracy Rating</t>
  </si>
  <si>
    <t xml:space="preserve">#% increased Physical Damage / #% chance to Blind Enemies on hit</t>
  </si>
  <si>
    <t xml:space="preserve">(95-105)% increased Physical Damage / (18-20)% chance to Blind Enemies on hit</t>
  </si>
  <si>
    <t xml:space="preserve">#% increased Physical Damage / #% chance to Impale Enemies on Hit with Attacks</t>
  </si>
  <si>
    <t xml:space="preserve">(95-105)% increased Physical Damage / (18-20)% chance to Impale Enemies on Hit with Attacks</t>
  </si>
  <si>
    <t xml:space="preserve">#% increased Physical Damage / #% chance to Poison on Hit</t>
  </si>
  <si>
    <t xml:space="preserve">(95-105)% increased Physical Damage / (18-20)% chance to Poison on Hit</t>
  </si>
  <si>
    <t xml:space="preserve">#% increased Physical Damage / #% chance to cause Bleeding on Hit</t>
  </si>
  <si>
    <t xml:space="preserve">(95-105)% increased Physical Damage / (18-20)% chance to cause Bleeding on Hit</t>
  </si>
  <si>
    <t xml:space="preserve">#% increased Physical Damage taken</t>
  </si>
  <si>
    <t xml:space="preserve">(9-10)% increased Physical Damage taken</t>
  </si>
  <si>
    <t xml:space="preserve">#% increased Physical Damage with Axes</t>
  </si>
  <si>
    <t xml:space="preserve">(3-4)% increased Physical Damage with Axes</t>
  </si>
  <si>
    <t xml:space="preserve">#% increased Physical Damage with Claws</t>
  </si>
  <si>
    <t xml:space="preserve">(3-4)% increased Physical Damage with Claws</t>
  </si>
  <si>
    <t xml:space="preserve">#% increased Physical Damage with Daggers</t>
  </si>
  <si>
    <t xml:space="preserve">(3-4)% increased Physical Damage with Daggers</t>
  </si>
  <si>
    <t xml:space="preserve">#% increased Physical Damage with Maces or Sceptres</t>
  </si>
  <si>
    <t xml:space="preserve">(3-4)% increased Physical Damage with Maces or Sceptres</t>
  </si>
  <si>
    <t xml:space="preserve">#% increased Physical Damage with Staves</t>
  </si>
  <si>
    <t xml:space="preserve">(3-4)% increased Physical Damage with Staves</t>
  </si>
  <si>
    <t xml:space="preserve">#% increased Physical Damage with Swords</t>
  </si>
  <si>
    <t xml:space="preserve">(3-4)% increased Physical Damage with Swords</t>
  </si>
  <si>
    <t xml:space="preserve">#% increased Poison Duration</t>
  </si>
  <si>
    <t xml:space="preserve">(8-12)% increased Poison Duration</t>
  </si>
  <si>
    <t xml:space="preserve">Bows, Claws, Daggers, Gloves, One Hand Swords, Quivers, Rings, Two Hand Swords</t>
  </si>
  <si>
    <t xml:space="preserve">Haunted Modifiers, Synthesis</t>
  </si>
  <si>
    <t xml:space="preserve">#% increased Poison Duration / #% chance to Poison on Hit</t>
  </si>
  <si>
    <t xml:space="preserve">(6-8)% increased Poison Duration / (3-5)% chance to Poison on Hit</t>
  </si>
  <si>
    <t xml:space="preserve">#% increased Power Charge Duration</t>
  </si>
  <si>
    <t xml:space="preserve">(12-15)% increased Power Charge Duration</t>
  </si>
  <si>
    <t xml:space="preserve">#% increased Rarity of Items found during Effect</t>
  </si>
  <si>
    <t xml:space="preserve">(20-30)% increased Rarity of Items found during Effect</t>
  </si>
  <si>
    <t xml:space="preserve">#% increased Recovery rate</t>
  </si>
  <si>
    <t xml:space="preserve">(65-70)% increased Recovery rate</t>
  </si>
  <si>
    <t xml:space="preserve">#% increased Strength / #% increased Dexterity</t>
  </si>
  <si>
    <t xml:space="preserve">(4-6)% increased Strength / (4-6)% increased Dexterity</t>
  </si>
  <si>
    <t xml:space="preserve">#% increased Strength / #% increased Intelligence</t>
  </si>
  <si>
    <t xml:space="preserve">(4-6)% increased Strength / (4-6)% increased Intelligence</t>
  </si>
  <si>
    <t xml:space="preserve">#% increased Stun Threshold</t>
  </si>
  <si>
    <t xml:space="preserve">(46-60)% increased Stun Threshold</t>
  </si>
  <si>
    <t xml:space="preserve">Body Armours, Boots</t>
  </si>
  <si>
    <t xml:space="preserve">Essence, Haunted Modifiers, The Eater of Worlds</t>
  </si>
  <si>
    <t xml:space="preserve">#% increased Stun and Block Recovery</t>
  </si>
  <si>
    <t xml:space="preserve">(26-28)% increased Stun and Block Recovery</t>
  </si>
  <si>
    <t xml:space="preserve">#% increased effect</t>
  </si>
  <si>
    <t xml:space="preserve">(20-22)% increased effect</t>
  </si>
  <si>
    <t xml:space="preserve">#% increased effect / Gains no Charges during Effect</t>
  </si>
  <si>
    <t xml:space="preserve">(60-70)% increased effect / Gains no Charges during Effect</t>
  </si>
  <si>
    <t xml:space="preserve">#% less Damage Taken per # Dexterity</t>
  </si>
  <si>
    <t xml:space="preserve">1% less Damage Taken per 230 Dexterity</t>
  </si>
  <si>
    <t xml:space="preserve">#% less Damage Taken per # Intelligence</t>
  </si>
  <si>
    <t xml:space="preserve">1% less Damage Taken per 230 Intelligence</t>
  </si>
  <si>
    <t xml:space="preserve">#% less Duration / Immunity to Bleeding and Corrupted Blood during Effect</t>
  </si>
  <si>
    <t xml:space="preserve">(35-39)% less Duration / Immunity to Bleeding and Corrupted Blood during Effect</t>
  </si>
  <si>
    <t xml:space="preserve">Base, Bestiary</t>
  </si>
  <si>
    <t xml:space="preserve">#% less Duration / Immunity to Poison during Effect</t>
  </si>
  <si>
    <t xml:space="preserve">(35-39)% less Duration / Immunity to Poison during Effect</t>
  </si>
  <si>
    <t xml:space="preserve">#% reduced Amount Recovered / #% increased Recovery rate / #% of Recovery applied Instantly</t>
  </si>
  <si>
    <t xml:space="preserve">(36-39)% reduced Amount Recovered / 135% increased Recovery rate / 50% of Recovery applied Instantly</t>
  </si>
  <si>
    <t xml:space="preserve">#% reduced Amount Recovered / Instant Recovery</t>
  </si>
  <si>
    <t xml:space="preserve">66% reduced Amount Recovered / Instant Recovery</t>
  </si>
  <si>
    <t xml:space="preserve">#% reduced Area Damage</t>
  </si>
  <si>
    <t xml:space="preserve">(63-75)% reduced Area Damage</t>
  </si>
  <si>
    <t xml:space="preserve">#% reduced Attack Speed</t>
  </si>
  <si>
    <t xml:space="preserve">(27-30)% reduced Attack Speed</t>
  </si>
  <si>
    <t xml:space="preserve">Gloves, Quivers, Shields</t>
  </si>
  <si>
    <t xml:space="preserve">#% reduced Bleed Duration on you</t>
  </si>
  <si>
    <t xml:space="preserve">(30-35)% reduced Bleed Duration on you</t>
  </si>
  <si>
    <t xml:space="preserve">Boots, Cobalt Jewel, Crimson Jewel, Viridian Jewel</t>
  </si>
  <si>
    <t xml:space="preserve">Base, Corrupted, Haunted Modifiers</t>
  </si>
  <si>
    <t xml:space="preserve">#% reduced Charges per use</t>
  </si>
  <si>
    <t xml:space="preserve">(26-28)% reduced Charges per use</t>
  </si>
  <si>
    <t xml:space="preserve">#% reduced Charges per use / Gains no Charges during Effect</t>
  </si>
  <si>
    <t xml:space="preserve">(25-35)% reduced Charges per use / Gains no Charges during Effect</t>
  </si>
  <si>
    <t xml:space="preserve">#% reduced Cooldown Recovery Rate</t>
  </si>
  <si>
    <t xml:space="preserve">(12-16)% reduced Cooldown Recovery Rate</t>
  </si>
  <si>
    <t xml:space="preserve">#% reduced Damage taken from Damage Over Time</t>
  </si>
  <si>
    <t xml:space="preserve">5% reduced Damage taken from Damage Over Time</t>
  </si>
  <si>
    <t xml:space="preserve">Amulets, Shields</t>
  </si>
  <si>
    <t xml:space="preserve">Crafting Bench, Synthesis</t>
  </si>
  <si>
    <t xml:space="preserve">#% reduced Damage taken if Corrupted</t>
  </si>
  <si>
    <t xml:space="preserve">5% reduced Damage taken if Corrupted</t>
  </si>
  <si>
    <t xml:space="preserve">#% reduced Damage taken per # Dexterity</t>
  </si>
  <si>
    <t xml:space="preserve">1% reduced Damage taken per 250 Dexterity</t>
  </si>
  <si>
    <t xml:space="preserve">#% reduced Damage taken per # Intelligence</t>
  </si>
  <si>
    <t xml:space="preserve">1% reduced Damage taken per 250 Intelligence</t>
  </si>
  <si>
    <t xml:space="preserve">#% reduced Damage taken per # Strength</t>
  </si>
  <si>
    <t xml:space="preserve">1% reduced Damage taken per 250 Strength</t>
  </si>
  <si>
    <t xml:space="preserve">#% reduced Duration / #% increased effect</t>
  </si>
  <si>
    <t xml:space="preserve">(23-27)% reduced Duration / 25% increased effect</t>
  </si>
  <si>
    <t xml:space="preserve">#% reduced Duration of Ailments on Enemies</t>
  </si>
  <si>
    <t xml:space="preserve">(26-30)% reduced Duration of Ailments on Enemies</t>
  </si>
  <si>
    <t xml:space="preserve">#% reduced Effect of Non-Damaging Ailments</t>
  </si>
  <si>
    <t xml:space="preserve">(50-60)% reduced Effect of Non-Damaging Ailments</t>
  </si>
  <si>
    <t xml:space="preserve">#% reduced Enemy Stun Threshold</t>
  </si>
  <si>
    <t xml:space="preserve">(14-15)% reduced Enemy Stun Threshold</t>
  </si>
  <si>
    <t xml:space="preserve">Belts, Gloves, One Hand Axes, One Hand Maces, One Hand Swords, Quivers, Sceptres, Staves, Two Hand Maces, Two Hand Swords</t>
  </si>
  <si>
    <t xml:space="preserve">Base, Essence, Scourge Beneficial, Synthesis, The Searing Exarch</t>
  </si>
  <si>
    <t xml:space="preserve">#% reduced Global Accuracy Rating</t>
  </si>
  <si>
    <t xml:space="preserve">(45-51)% reduced Global Accuracy Rating</t>
  </si>
  <si>
    <t xml:space="preserve">#% reduced Global Critical Strike Chance</t>
  </si>
  <si>
    <t xml:space="preserve">(60-66)% reduced Global Critical Strike Chance</t>
  </si>
  <si>
    <t xml:space="preserve">#% reduced Global Defences</t>
  </si>
  <si>
    <t xml:space="preserve">(21-25)% reduced Global Defences</t>
  </si>
  <si>
    <t xml:space="preserve">Amulets, Belts, Body Armours, Boots, Gloves, Helmets, Rings, Shields</t>
  </si>
  <si>
    <t xml:space="preserve">#% reduced Global Physical Damage</t>
  </si>
  <si>
    <t xml:space="preserve">(82-90)% reduced Global Physical Damage</t>
  </si>
  <si>
    <t xml:space="preserve">Sceptres, Staves, Wands</t>
  </si>
  <si>
    <t xml:space="preserve">#% reduced Movement Speed</t>
  </si>
  <si>
    <t xml:space="preserve">(12-13)% reduced Movement Speed</t>
  </si>
  <si>
    <t xml:space="preserve">#% reduced Physical Damage taken over time</t>
  </si>
  <si>
    <t xml:space="preserve">(1-2)% reduced Physical Damage taken over time</t>
  </si>
  <si>
    <t xml:space="preserve">#% reduced Poison Duration on you</t>
  </si>
  <si>
    <t xml:space="preserve">(30-35)% reduced Poison Duration on you</t>
  </si>
  <si>
    <t xml:space="preserve">#% to Critical Strike Multiplier for Attack Damage</t>
  </si>
  <si>
    <t xml:space="preserve">+(20-21)% to Critical Strike Multiplier for Attack Damage</t>
  </si>
  <si>
    <t xml:space="preserve">#% to Critical Strike Multiplier with One Handed Melee Weapons</t>
  </si>
  <si>
    <t xml:space="preserve">+(15-18)% to Critical Strike Multiplier with One Handed Melee Weapons</t>
  </si>
  <si>
    <t xml:space="preserve">#% to Critical Strike Multiplier with Two Handed Melee Weapons</t>
  </si>
  <si>
    <t xml:space="preserve">+(15-18)% to Critical Strike Multiplier with Two Handed Melee Weapons</t>
  </si>
  <si>
    <t xml:space="preserve">#% to Damage over Time Multiplier with Attack Skills</t>
  </si>
  <si>
    <t xml:space="preserve">+(24-26)% to Damage over Time Multiplier with Attack Skills</t>
  </si>
  <si>
    <t xml:space="preserve">#% to Damage over Time Multiplier with Melee Weapon Attacks</t>
  </si>
  <si>
    <t xml:space="preserve">+(29-33)% to Damage over Time Multiplier with Melee Weapon Attacks</t>
  </si>
  <si>
    <t xml:space="preserve">#% to Melee Critical Strike Multiplier</t>
  </si>
  <si>
    <t xml:space="preserve">+(12-15)% to Melee Critical Strike Multiplier</t>
  </si>
  <si>
    <t xml:space="preserve">#% to Melee Weapon Critical Strike Multiplier</t>
  </si>
  <si>
    <t xml:space="preserve">+(29-33)% to Melee Weapon Critical Strike Multiplier</t>
  </si>
  <si>
    <t xml:space="preserve">#% to Physical Damage over Time Multiplier</t>
  </si>
  <si>
    <t xml:space="preserve">+(34-38)% to Physical Damage over Time Multiplier</t>
  </si>
  <si>
    <t xml:space="preserve">Amulets, Bows, Claws, Cobalt Jewel, Crimson Jewel, Daggers, Gloves, One Hand Axes, One Hand Maces, One Hand Swords, Sceptres, Staves, Two Hand Maces, Two Hand Swords, Viridian Jewel, Wands</t>
  </si>
  <si>
    <t xml:space="preserve">Base, Crafting Bench, Scourge Beneficial, The Searing Exarch</t>
  </si>
  <si>
    <t xml:space="preserve">#% to maximum Chance to Block Attack Damage</t>
  </si>
  <si>
    <t xml:space="preserve">+(1-2)% to maximum Chance to Block Attack Damage</t>
  </si>
  <si>
    <t xml:space="preserve">Action Speed cannot be modified to below #% of base value</t>
  </si>
  <si>
    <t xml:space="preserve">Action Speed cannot be modified to below (75-79)% of base value</t>
  </si>
  <si>
    <t xml:space="preserve">Adds # to # Physical Damage / #% chance to cause Bleeding on Hit</t>
  </si>
  <si>
    <t xml:space="preserve">Adds (9-11) to (12-14) Physical Damage / 40% chance to cause Bleeding on Hit</t>
  </si>
  <si>
    <t xml:space="preserve">Adds # to # Physical Damage against Poisoned Enemies</t>
  </si>
  <si>
    <t xml:space="preserve">Adds (7-11) to (12-18) Physical Damage against Poisoned Enemies</t>
  </si>
  <si>
    <t xml:space="preserve">Adds # to # Physical Damage to Attacks</t>
  </si>
  <si>
    <t xml:space="preserve">Adds (11-15) to (22-26) Physical Damage to Attacks</t>
  </si>
  <si>
    <t xml:space="preserve">Amulets, Gloves, Quivers, Rings</t>
  </si>
  <si>
    <t xml:space="preserve">Base, Crafting Bench, Essence, The Searing Exarch</t>
  </si>
  <si>
    <t xml:space="preserve">Ancestral Bond</t>
  </si>
  <si>
    <t xml:space="preserve">Attacks cannot cause Bleeding</t>
  </si>
  <si>
    <t xml:space="preserve">Attacks have #% chance to cause Bleeding</t>
  </si>
  <si>
    <t xml:space="preserve">Attacks have 5% chance to cause Bleeding</t>
  </si>
  <si>
    <t xml:space="preserve">Attacks have #% chance to cause Bleeding / #% increased Bleeding Duration</t>
  </si>
  <si>
    <t xml:space="preserve">Attacks have (3-5)% chance to cause Bleeding / (12-16)% increased Bleeding Duration</t>
  </si>
  <si>
    <t xml:space="preserve">Attacks have #% chance to cause Bleeding / #% increased Damage with Bleeding</t>
  </si>
  <si>
    <t xml:space="preserve">Attacks have 25% chance to cause Bleeding / (30-50)% increased Damage with Bleeding</t>
  </si>
  <si>
    <t xml:space="preserve">Bleeding cannot be inflicted on you</t>
  </si>
  <si>
    <t xml:space="preserve">Belts, Rings, Shields</t>
  </si>
  <si>
    <t xml:space="preserve">Blood Magic</t>
  </si>
  <si>
    <t xml:space="preserve">Call to Arms</t>
  </si>
  <si>
    <t xml:space="preserve">Cannot be Blinded</t>
  </si>
  <si>
    <t xml:space="preserve">Corrupted, Haunted Modifiers</t>
  </si>
  <si>
    <t xml:space="preserve">Cannot be Frozen</t>
  </si>
  <si>
    <t xml:space="preserve">Belts, Boots</t>
  </si>
  <si>
    <t xml:space="preserve">Scourge Beneficial, Synthesis, Warbands</t>
  </si>
  <si>
    <t xml:space="preserve">Cannot be Knocked Back</t>
  </si>
  <si>
    <t xml:space="preserve">Cannot be Poisoned</t>
  </si>
  <si>
    <t xml:space="preserve">Belts, Boots, Rings</t>
  </si>
  <si>
    <t xml:space="preserve">Corrupted, Essence, Synthesis</t>
  </si>
  <si>
    <t xml:space="preserve">Cannot gain Charges</t>
  </si>
  <si>
    <t xml:space="preserve">Cannot roll Attack Modifiers</t>
  </si>
  <si>
    <t xml:space="preserve">Conduit</t>
  </si>
  <si>
    <t xml:space="preserve">Corrupted Blood cannot be inflicted on you</t>
  </si>
  <si>
    <t xml:space="preserve">Body Armours, Cobalt Jewel, Crimson Jewel, Gloves, Shields, Viridian Jewel</t>
  </si>
  <si>
    <t xml:space="preserve">Corrupted, Delve, Haunted Modifiers</t>
  </si>
  <si>
    <t xml:space="preserve">Corrupted Blood cannot be inflicted on you if you have at least # Corrupted Blood Debuffs on you</t>
  </si>
  <si>
    <t xml:space="preserve">Corrupted Blood cannot be inflicted on you if you have at least 5 Corrupted Blood Debuffs on you</t>
  </si>
  <si>
    <t xml:space="preserve">Create Consecrated Ground when Hit, lasting # seconds</t>
  </si>
  <si>
    <t xml:space="preserve">Create Consecrated Ground when Hit, lasting 8 seconds</t>
  </si>
  <si>
    <t xml:space="preserve">Damage with Hits is Unlucky</t>
  </si>
  <si>
    <t xml:space="preserve">Damaging Ailments deal damage #% faster</t>
  </si>
  <si>
    <t xml:space="preserve">Damaging Ailments deal damage (4-6)% faster</t>
  </si>
  <si>
    <t xml:space="preserve">Deal no Physical Damage</t>
  </si>
  <si>
    <t xml:space="preserve">Bows, Claws, Daggers, One Hand Axes, One Hand Maces, One Hand Swords, Quivers, Sceptres, Staves, Two Hand Maces, Two Hand Swords, Wands</t>
  </si>
  <si>
    <t xml:space="preserve">Debuffs on you expire #% faster / You are Debilitated</t>
  </si>
  <si>
    <t xml:space="preserve">Debuffs on you expire (80-100)% faster / You are Debilitated</t>
  </si>
  <si>
    <t xml:space="preserve">Divine Shield</t>
  </si>
  <si>
    <t xml:space="preserve">Eldritch Battery</t>
  </si>
  <si>
    <t xml:space="preserve">Enduring Cry has #% increased Cooldown Recovery Rate</t>
  </si>
  <si>
    <t xml:space="preserve">Enduring Cry has (15-17)% increased Cooldown Recovery Rate</t>
  </si>
  <si>
    <t xml:space="preserve">Enemies Maimed by you take #% increased Damage Over Time</t>
  </si>
  <si>
    <t xml:space="preserve">Enemies Maimed by you take 10% increased Damage Over Time</t>
  </si>
  <si>
    <t xml:space="preserve">Eternal Youth</t>
  </si>
  <si>
    <t xml:space="preserve">Flesh and Stone has #% increased Area of Effect</t>
  </si>
  <si>
    <t xml:space="preserve">Flesh and Stone has (15-17)% increased Area of Effect</t>
  </si>
  <si>
    <t xml:space="preserve">Gain # Charges when you are Hit by an Enemy</t>
  </si>
  <si>
    <t xml:space="preserve">Gain 3 Charges when you are Hit by an Enemy</t>
  </si>
  <si>
    <t xml:space="preserve">Gain # Endurance Charges every second if you've been Hit Recently</t>
  </si>
  <si>
    <t xml:space="preserve">Gain 1 Endurance Charges every second if you've been Hit Recently</t>
  </si>
  <si>
    <t xml:space="preserve">Gain #% of Physical Damage as Extra Damage of a random Element</t>
  </si>
  <si>
    <t xml:space="preserve">Gain (8-10)% of Physical Damage as Extra Damage of a random Element</t>
  </si>
  <si>
    <t xml:space="preserve">Gain a Power Charge every # seconds</t>
  </si>
  <si>
    <t xml:space="preserve">Gain a Power Charge every 15 seconds</t>
  </si>
  <si>
    <t xml:space="preserve">Gain an Endurance Charge every # seconds</t>
  </si>
  <si>
    <t xml:space="preserve">Gain an Endurance Charge every 15 seconds</t>
  </si>
  <si>
    <t xml:space="preserve">General's Cry has #% increased Cooldown Recovery Rate</t>
  </si>
  <si>
    <t xml:space="preserve">General's Cry has (15-17)% increased Cooldown Recovery Rate</t>
  </si>
  <si>
    <t xml:space="preserve">Ghost Dance</t>
  </si>
  <si>
    <t xml:space="preserve">Ghost Reaver</t>
  </si>
  <si>
    <t xml:space="preserve">Grants Immunity to Bleeding for # seconds if used while Bleeding / Grants Immunity to Corrupted Blood for # seconds if used while affected by Corrupted Blood</t>
  </si>
  <si>
    <t xml:space="preserve">Grants Immunity to Bleeding for (15-17) seconds if used while Bleeding / Grants Immunity to Corrupted Blood for (15-17) seconds if used while affected by Corrupted Blood</t>
  </si>
  <si>
    <t xml:space="preserve">Grants Immunity to Hinder for # seconds if used while Hindered / Grants Immunity to Maim for # seconds if used while Maimed</t>
  </si>
  <si>
    <t xml:space="preserve">Grants Immunity to Hinder for (15-17) seconds if used while Hindered / Grants Immunity to Maim for (15-17) seconds if used while Maimed</t>
  </si>
  <si>
    <t xml:space="preserve">Grants Immunity to Poison for # seconds if used while Poisoned</t>
  </si>
  <si>
    <t xml:space="preserve">Grants Immunity to Poison for (15-17) seconds if used while Poisoned</t>
  </si>
  <si>
    <t xml:space="preserve">Guard Skills have #% increased Cooldown Recovery Rate</t>
  </si>
  <si>
    <t xml:space="preserve">Guard Skills have (14-16)% increased Cooldown Recovery Rate</t>
  </si>
  <si>
    <t xml:space="preserve">Hits can't be Evaded</t>
  </si>
  <si>
    <t xml:space="preserve">Hits have #% additional Critical Strike Chance against you</t>
  </si>
  <si>
    <t xml:space="preserve">Hits have +10% additional Critical Strike Chance against you</t>
  </si>
  <si>
    <t xml:space="preserve">Hits have #% chance to ignore Enemy Physical Damage Reduction</t>
  </si>
  <si>
    <t xml:space="preserve">Hits have (30-34)% chance to ignore Enemy Physical Damage Reduction</t>
  </si>
  <si>
    <t xml:space="preserve">Ignore all Movement Penalties from Armour</t>
  </si>
  <si>
    <t xml:space="preserve">Imbalanced Guard</t>
  </si>
  <si>
    <t xml:space="preserve">Infernal Cry has #% increased Area of Effect</t>
  </si>
  <si>
    <t xml:space="preserve">Infernal Cry has (15-17)% increased Area of Effect</t>
  </si>
  <si>
    <t xml:space="preserve">Intimidate Enemies for # seconds on Hit with Attacks</t>
  </si>
  <si>
    <t xml:space="preserve">Intimidate Enemies for 4 seconds on Hit with Attacks</t>
  </si>
  <si>
    <t xml:space="preserve">Intimidating Cry has #% increased Cooldown Recovery Rate</t>
  </si>
  <si>
    <t xml:space="preserve">Intimidating Cry has (15-17)% increased Cooldown Recovery Rate</t>
  </si>
  <si>
    <t xml:space="preserve">Iron Grip</t>
  </si>
  <si>
    <t xml:space="preserve">Iron Will</t>
  </si>
  <si>
    <t xml:space="preserve">Lethe Shade</t>
  </si>
  <si>
    <t xml:space="preserve">Magebane</t>
  </si>
  <si>
    <t xml:space="preserve">Melee Attacks Knock Enemies Back on Hit</t>
  </si>
  <si>
    <t xml:space="preserve">Melee Weapon Hits have #% chance to ignore Enemy Physical Damage Reduction</t>
  </si>
  <si>
    <t xml:space="preserve">Melee Weapon Hits have (50-60)% chance to ignore Enemy Physical Damage Reduction</t>
  </si>
  <si>
    <t xml:space="preserve">Mind Over Matter</t>
  </si>
  <si>
    <t xml:space="preserve">Movement Speed cannot be modified to below Base Value</t>
  </si>
  <si>
    <t xml:space="preserve">Moving while Bleeding doesn't cause you to take extra Damage</t>
  </si>
  <si>
    <t xml:space="preserve">Boots, Quivers, Shields</t>
  </si>
  <si>
    <t xml:space="preserve">Crafting Bench, Haunted Modifiers</t>
  </si>
  <si>
    <t xml:space="preserve">Nearby Enemies take #% increased Physical Damage</t>
  </si>
  <si>
    <t xml:space="preserve">Nearby Enemies take 3% increased Physical Damage</t>
  </si>
  <si>
    <t xml:space="preserve">Delve, Scourge Beneficial</t>
  </si>
  <si>
    <t xml:space="preserve">Nearby Enemies take #% increased Physical Damage per two Fortification on you</t>
  </si>
  <si>
    <t xml:space="preserve">Nearby Enemies take 1% increased Physical Damage per two Fortification on you</t>
  </si>
  <si>
    <t xml:space="preserve">Nearby Enemies take #% reduced Physical Damage</t>
  </si>
  <si>
    <t xml:space="preserve">Nearby Enemies take 9% reduced Physical Damage</t>
  </si>
  <si>
    <t xml:space="preserve">Never deal Critical Strikes</t>
  </si>
  <si>
    <t xml:space="preserve">Body Armours, Quivers</t>
  </si>
  <si>
    <t xml:space="preserve">Onslaught</t>
  </si>
  <si>
    <t xml:space="preserve">Pain Attunement</t>
  </si>
  <si>
    <t xml:space="preserve">Point Blank</t>
  </si>
  <si>
    <t xml:space="preserve">Poisons you inflict deal Damage #% faster</t>
  </si>
  <si>
    <t xml:space="preserve">Poisons you inflict deal Damage 5% faster</t>
  </si>
  <si>
    <t xml:space="preserve">Prevent #% of Reflected Damage</t>
  </si>
  <si>
    <t xml:space="preserve">Prevent +45% of Reflected Damage</t>
  </si>
  <si>
    <t xml:space="preserve">Prevent #% of Reflected Damage during Effect</t>
  </si>
  <si>
    <t xml:space="preserve">Prevent +(45-55)% of Reflected Damage during Effect</t>
  </si>
  <si>
    <t xml:space="preserve">Runebinder</t>
  </si>
  <si>
    <t xml:space="preserve">Solipsism</t>
  </si>
  <si>
    <t xml:space="preserve">Suffixes Cannot Be Changed</t>
  </si>
  <si>
    <t xml:space="preserve">Supreme Ego</t>
  </si>
  <si>
    <t xml:space="preserve">Tempest Shield has #% increased Buff Effect</t>
  </si>
  <si>
    <t xml:space="preserve">Tempest Shield has (15-17)% increased Buff Effect</t>
  </si>
  <si>
    <t xml:space="preserve">The Agnostic</t>
  </si>
  <si>
    <t xml:space="preserve">The Impaler</t>
  </si>
  <si>
    <t xml:space="preserve">Trigger Level # Summon Spectral Wolf on Kill</t>
  </si>
  <si>
    <t xml:space="preserve">Trigger Level 10 Summon Spectral Wolf on Kill</t>
  </si>
  <si>
    <t xml:space="preserve">Triggers Level # Spectral Spirits when Equipped / # to maximum number of Spectral Spirits</t>
  </si>
  <si>
    <t xml:space="preserve">Triggers Level 20 Spectral Spirits when Equipped / +3 to maximum number of Spectral Spirits</t>
  </si>
  <si>
    <t xml:space="preserve">Unaffected by Burning Ground</t>
  </si>
  <si>
    <t xml:space="preserve">Corrupted, Haunted Modifiers, Synthesis</t>
  </si>
  <si>
    <t xml:space="preserve">Unaffected by Desecrated Ground</t>
  </si>
  <si>
    <t xml:space="preserve">Unwavering Stance</t>
  </si>
  <si>
    <t xml:space="preserve">Body Armours, Boots, Shields</t>
  </si>
  <si>
    <t xml:space="preserve">Versatile Combatant</t>
  </si>
  <si>
    <t xml:space="preserve">Withered you Inflict expires #% slower</t>
  </si>
  <si>
    <t xml:space="preserve">Withered you Inflict expires (10-12)% slower</t>
  </si>
  <si>
    <t xml:space="preserve">You cannot be Hindered</t>
  </si>
  <si>
    <t xml:space="preserve">You cannot be Maimed</t>
  </si>
  <si>
    <t xml:space="preserve">You gain Onslaught for # seconds on Hit</t>
  </si>
  <si>
    <t xml:space="preserve">You gain Onslaught for 4 seconds on Hit</t>
  </si>
  <si>
    <t xml:space="preserve">You take #% increased Extra Damage from Critical Strikes</t>
  </si>
  <si>
    <t xml:space="preserve">You take (32-40)% increased Extra Damage from Critical Strikes</t>
  </si>
  <si>
    <t xml:space="preserve">You take #% reduced Extra Damage from Critical Strikes</t>
  </si>
  <si>
    <t xml:space="preserve">You take (51-60)% reduced Extra Damage from Critical Strikes</t>
  </si>
  <si>
    <t xml:space="preserve">Belts, Body Armours, Shields</t>
  </si>
  <si>
    <t xml:space="preserve">Base, Corrupted, Haunted Modifiers, Scourge Beneficial, Synthesis</t>
  </si>
  <si>
    <t xml:space="preserve">You take #% reduced Extra Damage from Critical Strikes per Endurance Charge</t>
  </si>
  <si>
    <t xml:space="preserve">You take 10% reduced Extra Damage from Critical Strikes per Endurance Charge</t>
  </si>
  <si>
    <t xml:space="preserve">Your Hits cannot Stun Enemies</t>
  </si>
  <si>
    <t xml:space="preserve">Your Movement Skills are Disabled</t>
  </si>
  <si>
    <t xml:space="preserve">Zealot's Oath</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</si>
</sst>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name val="Arial"/>
      <family val="0"/>
      <charset val="1"/>
    </font>
    <font>
      <b val="true"/>
      <sz val="11"/>
      <name val="Arial"/>
      <family val="0"/>
      <charset val="1"/>
    </font>
    <font>
      <b val="true"/>
      <sz val="11"/>
      <color rgb="FFFFFFFF"/>
      <name val="Arial"/>
      <family val="0"/>
      <charset val="1"/>
    </font>
  </fonts>
  <fills count="10">
    <fill>
      <patternFill patternType="none"/>
    </fill>
    <fill>
      <patternFill patternType="gray125"/>
    </fill>
    <fill>
      <patternFill patternType="solid">
        <fgColor rgb="FFD9EAD3"/>
        <bgColor rgb="FFCFE2F3"/>
      </patternFill>
    </fill>
    <fill>
      <patternFill patternType="solid">
        <fgColor rgb="FFFFF2CC"/>
        <bgColor rgb="FFFCE5CD"/>
      </patternFill>
    </fill>
    <fill>
      <patternFill patternType="solid">
        <fgColor rgb="FFCFE2F3"/>
        <bgColor rgb="FFD9EAD3"/>
      </patternFill>
    </fill>
    <fill>
      <patternFill patternType="solid">
        <fgColor rgb="FFD9D2E9"/>
        <bgColor rgb="FFCFE2F3"/>
      </patternFill>
    </fill>
    <fill>
      <patternFill patternType="solid">
        <fgColor rgb="FFFCE5CD"/>
        <bgColor rgb="FFFFF2CC"/>
      </patternFill>
    </fill>
    <fill>
      <patternFill patternType="solid">
        <fgColor rgb="FFF4CCCC"/>
        <bgColor rgb="FFD9D2E9"/>
      </patternFill>
    </fill>
    <fill>
      <patternFill patternType="solid">
        <fgColor rgb="FFEFEFEF"/>
        <bgColor rgb="FFFFF2CC"/>
      </patternFill>
    </fill>
    <fill>
      <patternFill patternType="solid">
        <fgColor rgb="FF434343"/>
        <bgColor rgb="FF33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4" fontId="5" fillId="5" borderId="0" xfId="0" applyFont="true" applyBorder="false" applyAlignment="false" applyProtection="false">
      <alignment horizontal="general" vertical="bottom" textRotation="0" wrapText="false" indent="0" shrinkToFit="false"/>
      <protection locked="true" hidden="false"/>
    </xf>
    <xf numFmtId="164" fontId="5" fillId="6" borderId="0" xfId="0" applyFont="true" applyBorder="false" applyAlignment="false" applyProtection="false">
      <alignment horizontal="general" vertical="bottom" textRotation="0" wrapText="false" indent="0" shrinkToFit="false"/>
      <protection locked="true" hidden="false"/>
    </xf>
    <xf numFmtId="164" fontId="5" fillId="7" borderId="0" xfId="0" applyFont="true" applyBorder="false" applyAlignment="false" applyProtection="false">
      <alignment horizontal="general" vertical="bottom" textRotation="0" wrapText="false" indent="0" shrinkToFit="false"/>
      <protection locked="true" hidden="false"/>
    </xf>
    <xf numFmtId="164" fontId="5" fillId="8" borderId="0" xfId="0" applyFont="true" applyBorder="false" applyAlignment="false" applyProtection="false">
      <alignment horizontal="general" vertical="bottom" textRotation="0" wrapText="false" indent="0" shrinkToFit="false"/>
      <protection locked="true" hidden="false"/>
    </xf>
    <xf numFmtId="164" fontId="7" fillId="9"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2" borderId="0" xfId="0" applyFont="tru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4" fontId="5" fillId="4" borderId="0" xfId="0" applyFont="true" applyBorder="false" applyAlignment="true" applyProtection="false">
      <alignment horizontal="general" vertical="top" textRotation="0" wrapText="true" indent="0" shrinkToFit="false"/>
      <protection locked="true" hidden="false"/>
    </xf>
    <xf numFmtId="164" fontId="5" fillId="5" borderId="0" xfId="0" applyFont="true" applyBorder="false" applyAlignment="true" applyProtection="false">
      <alignment horizontal="general" vertical="top" textRotation="0" wrapText="true" indent="0" shrinkToFit="false"/>
      <protection locked="true" hidden="false"/>
    </xf>
    <xf numFmtId="164" fontId="5" fillId="6" borderId="0" xfId="0" applyFont="true" applyBorder="false" applyAlignment="true" applyProtection="false">
      <alignment horizontal="general" vertical="top" textRotation="0" wrapText="true" indent="0" shrinkToFit="false"/>
      <protection locked="true" hidden="false"/>
    </xf>
    <xf numFmtId="164" fontId="5" fillId="7" borderId="0" xfId="0" applyFont="true" applyBorder="false" applyAlignment="true" applyProtection="false">
      <alignment horizontal="general" vertical="top" textRotation="0" wrapText="true" indent="0" shrinkToFit="false"/>
      <protection locked="true" hidden="false"/>
    </xf>
    <xf numFmtId="164" fontId="5" fillId="8"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434343"/>
          <bgColor rgb="FF000000"/>
        </patternFill>
      </fill>
    </dxf>
    <dxf>
      <fill>
        <patternFill patternType="solid">
          <bgColor rgb="FF000000"/>
        </patternFill>
      </fill>
    </dxf>
    <dxf>
      <fill>
        <patternFill patternType="solid">
          <fgColor rgb="FFFFFFFF"/>
          <bgColor rgb="FF000000"/>
        </patternFill>
      </fill>
    </dxf>
    <dxf>
      <fill>
        <patternFill patternType="solid">
          <fgColor rgb="FFCFE2F3"/>
          <bgColor rgb="FF000000"/>
        </patternFill>
      </fill>
    </dxf>
    <dxf>
      <fill>
        <patternFill patternType="solid">
          <fgColor rgb="FFD9D2E9"/>
          <bgColor rgb="FF000000"/>
        </patternFill>
      </fill>
    </dxf>
    <dxf>
      <fill>
        <patternFill patternType="solid">
          <fgColor rgb="FFD9EAD3"/>
          <bgColor rgb="FF000000"/>
        </patternFill>
      </fill>
    </dxf>
    <dxf>
      <fill>
        <patternFill patternType="solid">
          <fgColor rgb="FFEFEFEF"/>
          <bgColor rgb="FF000000"/>
        </patternFill>
      </fill>
    </dxf>
    <dxf>
      <fill>
        <patternFill patternType="solid">
          <fgColor rgb="FFF4CCCC"/>
          <bgColor rgb="FF000000"/>
        </patternFill>
      </fill>
    </dxf>
    <dxf>
      <fill>
        <patternFill patternType="solid">
          <fgColor rgb="FFFCE5CD"/>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FE2F3"/>
      <rgbColor rgb="FF660066"/>
      <rgbColor rgb="FFFF8080"/>
      <rgbColor rgb="FF0066CC"/>
      <rgbColor rgb="FFD9D2E9"/>
      <rgbColor rgb="FF000080"/>
      <rgbColor rgb="FFFF00FF"/>
      <rgbColor rgb="FFFFFF00"/>
      <rgbColor rgb="FF00FFFF"/>
      <rgbColor rgb="FF800080"/>
      <rgbColor rgb="FF800000"/>
      <rgbColor rgb="FF008080"/>
      <rgbColor rgb="FF0000FF"/>
      <rgbColor rgb="FF00CCFF"/>
      <rgbColor rgb="FFEFEFEF"/>
      <rgbColor rgb="FFD9EAD3"/>
      <rgbColor rgb="FFFCE5CD"/>
      <rgbColor rgb="FF99CCFF"/>
      <rgbColor rgb="FFFF99CC"/>
      <rgbColor rgb="FFCC99FF"/>
      <rgbColor rgb="FFF4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3434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15"/>
    <col collapsed="false" customWidth="true" hidden="false" outlineLevel="0" max="3" min="3" style="0" width="12"/>
    <col collapsed="false" customWidth="true" hidden="false" outlineLevel="0" max="4" min="4" style="0" width="48"/>
  </cols>
  <sheetData>
    <row r="1" customFormat="false" ht="17.35" hidden="false" customHeight="false" outlineLevel="0" collapsed="false">
      <c r="A1" s="1" t="s">
        <v>0</v>
      </c>
    </row>
    <row r="2" customFormat="false" ht="15" hidden="false" customHeight="false" outlineLevel="0" collapsed="false">
      <c r="A2" s="2" t="s">
        <v>1</v>
      </c>
      <c r="B2" s="2"/>
      <c r="C2" s="2"/>
      <c r="D2" s="2"/>
    </row>
    <row r="3" customFormat="false" ht="15" hidden="false" customHeight="false" outlineLevel="0" collapsed="false">
      <c r="A3" s="2" t="s">
        <v>2</v>
      </c>
      <c r="B3" s="2"/>
      <c r="C3" s="2"/>
      <c r="D3" s="2"/>
    </row>
    <row r="4" customFormat="false" ht="15" hidden="false" customHeight="false" outlineLevel="0" collapsed="false">
      <c r="A4" s="2" t="s">
        <v>3</v>
      </c>
      <c r="B4" s="2"/>
      <c r="C4" s="2"/>
      <c r="D4" s="2"/>
    </row>
    <row r="5" customFormat="false" ht="15" hidden="false" customHeight="false" outlineLevel="0" collapsed="false">
      <c r="A5" s="2" t="s">
        <v>4</v>
      </c>
      <c r="B5" s="2"/>
      <c r="C5" s="2"/>
      <c r="D5" s="2"/>
    </row>
    <row r="6" customFormat="false" ht="15" hidden="false" customHeight="false" outlineLevel="0" collapsed="false">
      <c r="A6" s="2"/>
      <c r="B6" s="2"/>
      <c r="C6" s="2"/>
      <c r="D6" s="2"/>
    </row>
    <row r="7" customFormat="false" ht="15" hidden="false" customHeight="false" outlineLevel="0" collapsed="false">
      <c r="A7" s="3" t="s">
        <v>5</v>
      </c>
      <c r="B7" s="3" t="s">
        <v>6</v>
      </c>
      <c r="C7" s="3" t="s">
        <v>7</v>
      </c>
      <c r="D7" s="3" t="s">
        <v>8</v>
      </c>
    </row>
    <row r="8" customFormat="false" ht="15" hidden="false" customHeight="false" outlineLevel="0" collapsed="false">
      <c r="A8" s="4" t="s">
        <v>9</v>
      </c>
      <c r="B8" s="2" t="n">
        <f aca="false">COUNTIF('Item modifiers'!$J:$J,A8)</f>
        <v>21</v>
      </c>
      <c r="C8" s="2" t="n">
        <f aca="false">COUNTIF('Tile &amp; curse ideas'!$D:$D,A8)</f>
        <v>10</v>
      </c>
      <c r="D8" s="2" t="s">
        <v>10</v>
      </c>
    </row>
    <row r="9" customFormat="false" ht="15" hidden="false" customHeight="false" outlineLevel="0" collapsed="false">
      <c r="A9" s="5" t="s">
        <v>11</v>
      </c>
      <c r="B9" s="2" t="n">
        <f aca="false">COUNTIF('Item modifiers'!$J:$J,A9)</f>
        <v>10</v>
      </c>
      <c r="C9" s="2" t="n">
        <f aca="false">COUNTIF('Tile &amp; curse ideas'!$D:$D,A9)</f>
        <v>0</v>
      </c>
      <c r="D9" s="2" t="s">
        <v>12</v>
      </c>
    </row>
    <row r="10" customFormat="false" ht="15" hidden="false" customHeight="false" outlineLevel="0" collapsed="false">
      <c r="A10" s="6" t="s">
        <v>13</v>
      </c>
      <c r="B10" s="2" t="n">
        <f aca="false">COUNTIF('Item modifiers'!$J:$J,A10)</f>
        <v>29</v>
      </c>
      <c r="C10" s="2" t="n">
        <f aca="false">COUNTIF('Tile &amp; curse ideas'!$D:$D,A10)</f>
        <v>0</v>
      </c>
      <c r="D10" s="2" t="s">
        <v>14</v>
      </c>
    </row>
    <row r="11" customFormat="false" ht="15" hidden="false" customHeight="false" outlineLevel="0" collapsed="false">
      <c r="A11" s="7" t="s">
        <v>15</v>
      </c>
      <c r="B11" s="2" t="n">
        <f aca="false">COUNTIF('Item modifiers'!$J:$J,A11)</f>
        <v>30</v>
      </c>
      <c r="C11" s="2" t="n">
        <f aca="false">COUNTIF('Tile &amp; curse ideas'!$D:$D,A11)</f>
        <v>0</v>
      </c>
      <c r="D11" s="2" t="s">
        <v>16</v>
      </c>
    </row>
    <row r="12" customFormat="false" ht="15" hidden="false" customHeight="false" outlineLevel="0" collapsed="false">
      <c r="A12" s="8" t="s">
        <v>17</v>
      </c>
      <c r="B12" s="2" t="n">
        <f aca="false">COUNTIF('Item modifiers'!$J:$J,A12)</f>
        <v>9</v>
      </c>
      <c r="C12" s="2" t="n">
        <f aca="false">COUNTIF('Tile &amp; curse ideas'!$D:$D,A12)</f>
        <v>0</v>
      </c>
      <c r="D12" s="2" t="s">
        <v>18</v>
      </c>
    </row>
    <row r="13" customFormat="false" ht="15" hidden="false" customHeight="false" outlineLevel="0" collapsed="false">
      <c r="A13" s="9" t="s">
        <v>19</v>
      </c>
      <c r="B13" s="2" t="n">
        <f aca="false">COUNTIF('Item modifiers'!$J:$J,A13)</f>
        <v>3</v>
      </c>
      <c r="C13" s="2" t="n">
        <f aca="false">COUNTIF('Tile &amp; curse ideas'!$D:$D,A13)</f>
        <v>0</v>
      </c>
      <c r="D13" s="2" t="s">
        <v>20</v>
      </c>
    </row>
    <row r="14" customFormat="false" ht="15" hidden="false" customHeight="false" outlineLevel="0" collapsed="false">
      <c r="A14" s="10" t="s">
        <v>21</v>
      </c>
      <c r="B14" s="2" t="n">
        <f aca="false">COUNTIF('Item modifiers'!$J:$J,A14)</f>
        <v>1</v>
      </c>
      <c r="C14" s="2" t="n">
        <f aca="false">COUNTIF('Tile &amp; curse ideas'!$D:$D,A14)</f>
        <v>4</v>
      </c>
      <c r="D14" s="2" t="s">
        <v>22</v>
      </c>
    </row>
    <row r="15" customFormat="false" ht="15" hidden="false" customHeight="false" outlineLevel="0" collapsed="false">
      <c r="A15" s="6" t="s">
        <v>23</v>
      </c>
      <c r="B15" s="2" t="n">
        <f aca="false">COUNTIF('Item modifiers'!$J:$J,A15)</f>
        <v>0</v>
      </c>
      <c r="C15" s="2" t="n">
        <f aca="false">COUNTIF('Tile &amp; curse ideas'!$D:$D,A15)</f>
        <v>13</v>
      </c>
      <c r="D15" s="2" t="s">
        <v>24</v>
      </c>
    </row>
    <row r="16" customFormat="false" ht="15" hidden="false" customHeight="false" outlineLevel="0" collapsed="false">
      <c r="A16" s="3" t="s">
        <v>25</v>
      </c>
      <c r="B16" s="3" t="n">
        <f aca="false">SUM(B8:B15)</f>
        <v>103</v>
      </c>
      <c r="C16" s="3" t="n">
        <f aca="false">SUM(C8:C15)</f>
        <v>27</v>
      </c>
      <c r="D16"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14"/>
    <col collapsed="false" customWidth="true" hidden="false" outlineLevel="0" max="4" min="3" style="0" width="38"/>
    <col collapsed="false" customWidth="true" hidden="false" outlineLevel="0" max="5" min="5" style="0" width="9"/>
    <col collapsed="false" customWidth="true" hidden="false" outlineLevel="0" max="6" min="6" style="0" width="34"/>
    <col collapsed="false" customWidth="true" hidden="false" outlineLevel="0" max="7" min="7" style="0" width="28"/>
    <col collapsed="false" customWidth="true" hidden="false" outlineLevel="0" max="8" min="8" style="0" width="44"/>
    <col collapsed="false" customWidth="true" hidden="false" outlineLevel="0" max="9" min="9" style="0" width="20"/>
    <col collapsed="false" customWidth="true" hidden="false" outlineLevel="0" max="10" min="10" style="0" width="13"/>
    <col collapsed="false" customWidth="true" hidden="false" outlineLevel="0" max="11" min="11" style="0" width="20"/>
    <col collapsed="false" customWidth="true" hidden="false" outlineLevel="0" max="12" min="12" style="0" width="44"/>
  </cols>
  <sheetData>
    <row r="1" customFormat="false" ht="52.2" hidden="false" customHeight="false" outlineLevel="0" collapsed="false">
      <c r="A1" s="11" t="s">
        <v>26</v>
      </c>
      <c r="B1" s="11" t="s">
        <v>27</v>
      </c>
      <c r="C1" s="11" t="s">
        <v>28</v>
      </c>
      <c r="D1" s="11" t="s">
        <v>29</v>
      </c>
      <c r="E1" s="11" t="s">
        <v>30</v>
      </c>
      <c r="F1" s="11" t="s">
        <v>31</v>
      </c>
      <c r="G1" s="11" t="s">
        <v>32</v>
      </c>
      <c r="H1" s="11" t="s">
        <v>33</v>
      </c>
      <c r="I1" s="11" t="s">
        <v>34</v>
      </c>
      <c r="J1" s="11" t="s">
        <v>5</v>
      </c>
      <c r="K1" s="11" t="s">
        <v>35</v>
      </c>
      <c r="L1" s="11" t="s">
        <v>36</v>
      </c>
    </row>
    <row r="2" customFormat="false" ht="64.9" hidden="false" customHeight="false" outlineLevel="0" collapsed="false">
      <c r="A2" s="12" t="n">
        <v>1</v>
      </c>
      <c r="B2" s="12" t="s">
        <v>37</v>
      </c>
      <c r="C2" s="12" t="s">
        <v>38</v>
      </c>
      <c r="D2" s="12" t="s">
        <v>39</v>
      </c>
      <c r="E2" s="12" t="n">
        <v>1</v>
      </c>
      <c r="F2" s="12" t="s">
        <v>40</v>
      </c>
      <c r="G2" s="12" t="s">
        <v>41</v>
      </c>
      <c r="H2" s="12" t="s">
        <v>42</v>
      </c>
      <c r="I2" s="12" t="s">
        <v>43</v>
      </c>
      <c r="J2" s="13" t="s">
        <v>9</v>
      </c>
      <c r="K2" s="12" t="s">
        <v>44</v>
      </c>
      <c r="L2" s="12" t="s">
        <v>45</v>
      </c>
    </row>
    <row r="3" customFormat="false" ht="64.9" hidden="false" customHeight="false" outlineLevel="0" collapsed="false">
      <c r="A3" s="12" t="n">
        <v>2</v>
      </c>
      <c r="B3" s="12" t="s">
        <v>37</v>
      </c>
      <c r="C3" s="12" t="s">
        <v>46</v>
      </c>
      <c r="D3" s="12" t="s">
        <v>47</v>
      </c>
      <c r="E3" s="12" t="n">
        <v>2</v>
      </c>
      <c r="F3" s="12" t="s">
        <v>48</v>
      </c>
      <c r="G3" s="12" t="s">
        <v>49</v>
      </c>
      <c r="H3" s="12" t="s">
        <v>50</v>
      </c>
      <c r="I3" s="12" t="s">
        <v>51</v>
      </c>
      <c r="J3" s="13" t="s">
        <v>9</v>
      </c>
      <c r="K3" s="12" t="s">
        <v>44</v>
      </c>
      <c r="L3" s="12" t="s">
        <v>52</v>
      </c>
    </row>
    <row r="4" customFormat="false" ht="90.25" hidden="false" customHeight="false" outlineLevel="0" collapsed="false">
      <c r="A4" s="12" t="n">
        <v>3</v>
      </c>
      <c r="B4" s="12" t="s">
        <v>37</v>
      </c>
      <c r="C4" s="12" t="s">
        <v>53</v>
      </c>
      <c r="D4" s="12" t="s">
        <v>54</v>
      </c>
      <c r="E4" s="12" t="n">
        <v>1</v>
      </c>
      <c r="F4" s="12" t="s">
        <v>55</v>
      </c>
      <c r="G4" s="12" t="s">
        <v>41</v>
      </c>
      <c r="H4" s="12" t="s">
        <v>56</v>
      </c>
      <c r="I4" s="12" t="s">
        <v>57</v>
      </c>
      <c r="J4" s="13" t="s">
        <v>9</v>
      </c>
      <c r="K4" s="12" t="s">
        <v>58</v>
      </c>
      <c r="L4" s="12" t="s">
        <v>59</v>
      </c>
    </row>
    <row r="5" customFormat="false" ht="64.9" hidden="false" customHeight="false" outlineLevel="0" collapsed="false">
      <c r="A5" s="12" t="n">
        <v>4</v>
      </c>
      <c r="B5" s="12" t="s">
        <v>37</v>
      </c>
      <c r="C5" s="12" t="s">
        <v>60</v>
      </c>
      <c r="D5" s="12" t="s">
        <v>61</v>
      </c>
      <c r="E5" s="12" t="n">
        <v>36</v>
      </c>
      <c r="F5" s="12" t="s">
        <v>62</v>
      </c>
      <c r="G5" s="12" t="s">
        <v>63</v>
      </c>
      <c r="H5" s="12" t="s">
        <v>64</v>
      </c>
      <c r="I5" s="12" t="s">
        <v>65</v>
      </c>
      <c r="J5" s="14" t="s">
        <v>11</v>
      </c>
      <c r="K5" s="12" t="s">
        <v>66</v>
      </c>
      <c r="L5" s="12" t="s">
        <v>67</v>
      </c>
    </row>
    <row r="6" customFormat="false" ht="64.9" hidden="false" customHeight="false" outlineLevel="0" collapsed="false">
      <c r="A6" s="12" t="n">
        <v>5</v>
      </c>
      <c r="B6" s="12" t="s">
        <v>37</v>
      </c>
      <c r="C6" s="12" t="s">
        <v>68</v>
      </c>
      <c r="D6" s="12" t="s">
        <v>69</v>
      </c>
      <c r="E6" s="12" t="n">
        <v>45</v>
      </c>
      <c r="F6" s="12" t="s">
        <v>40</v>
      </c>
      <c r="G6" s="12" t="s">
        <v>70</v>
      </c>
      <c r="H6" s="12" t="s">
        <v>71</v>
      </c>
      <c r="I6" s="12" t="s">
        <v>65</v>
      </c>
      <c r="J6" s="15" t="s">
        <v>13</v>
      </c>
      <c r="K6" s="12" t="s">
        <v>72</v>
      </c>
      <c r="L6" s="12" t="s">
        <v>73</v>
      </c>
    </row>
    <row r="7" customFormat="false" ht="26.85" hidden="false" customHeight="false" outlineLevel="0" collapsed="false">
      <c r="A7" s="12" t="n">
        <v>6</v>
      </c>
      <c r="B7" s="12" t="s">
        <v>37</v>
      </c>
      <c r="C7" s="12" t="s">
        <v>74</v>
      </c>
      <c r="D7" s="12" t="s">
        <v>75</v>
      </c>
      <c r="E7" s="12" t="n">
        <v>60</v>
      </c>
      <c r="F7" s="12" t="s">
        <v>76</v>
      </c>
      <c r="G7" s="12" t="s">
        <v>77</v>
      </c>
      <c r="H7" s="12" t="s">
        <v>78</v>
      </c>
      <c r="I7" s="12" t="s">
        <v>79</v>
      </c>
      <c r="J7" s="15" t="s">
        <v>13</v>
      </c>
      <c r="K7" s="12" t="s">
        <v>80</v>
      </c>
      <c r="L7" s="12" t="s">
        <v>81</v>
      </c>
    </row>
    <row r="8" customFormat="false" ht="26.85" hidden="false" customHeight="false" outlineLevel="0" collapsed="false">
      <c r="A8" s="12" t="n">
        <v>7</v>
      </c>
      <c r="B8" s="12" t="s">
        <v>37</v>
      </c>
      <c r="C8" s="12" t="s">
        <v>82</v>
      </c>
      <c r="D8" s="12" t="s">
        <v>83</v>
      </c>
      <c r="E8" s="12" t="n">
        <v>1</v>
      </c>
      <c r="F8" s="12" t="s">
        <v>84</v>
      </c>
      <c r="G8" s="12" t="s">
        <v>85</v>
      </c>
      <c r="H8" s="12" t="s">
        <v>86</v>
      </c>
      <c r="I8" s="12" t="s">
        <v>87</v>
      </c>
      <c r="J8" s="15" t="s">
        <v>13</v>
      </c>
      <c r="K8" s="12" t="s">
        <v>88</v>
      </c>
      <c r="L8" s="12" t="s">
        <v>89</v>
      </c>
    </row>
    <row r="9" customFormat="false" ht="26.85" hidden="false" customHeight="false" outlineLevel="0" collapsed="false">
      <c r="A9" s="12" t="n">
        <v>8</v>
      </c>
      <c r="B9" s="12" t="s">
        <v>37</v>
      </c>
      <c r="C9" s="12" t="s">
        <v>90</v>
      </c>
      <c r="D9" s="12" t="s">
        <v>91</v>
      </c>
      <c r="E9" s="12" t="n">
        <v>1</v>
      </c>
      <c r="F9" s="12" t="s">
        <v>84</v>
      </c>
      <c r="G9" s="12" t="s">
        <v>85</v>
      </c>
      <c r="H9" s="12" t="s">
        <v>92</v>
      </c>
      <c r="I9" s="12" t="s">
        <v>93</v>
      </c>
      <c r="J9" s="15" t="s">
        <v>13</v>
      </c>
      <c r="K9" s="12" t="s">
        <v>58</v>
      </c>
      <c r="L9" s="12" t="s">
        <v>94</v>
      </c>
    </row>
    <row r="10" customFormat="false" ht="26.85" hidden="false" customHeight="false" outlineLevel="0" collapsed="false">
      <c r="A10" s="12" t="n">
        <v>9</v>
      </c>
      <c r="B10" s="12" t="s">
        <v>95</v>
      </c>
      <c r="C10" s="12" t="s">
        <v>96</v>
      </c>
      <c r="D10" s="12" t="s">
        <v>97</v>
      </c>
      <c r="E10" s="12" t="n">
        <v>1</v>
      </c>
      <c r="F10" s="12" t="s">
        <v>98</v>
      </c>
      <c r="G10" s="12" t="s">
        <v>99</v>
      </c>
      <c r="H10" s="12" t="s">
        <v>100</v>
      </c>
      <c r="I10" s="12" t="s">
        <v>93</v>
      </c>
      <c r="J10" s="15" t="s">
        <v>13</v>
      </c>
      <c r="K10" s="12" t="s">
        <v>101</v>
      </c>
      <c r="L10" s="12" t="s">
        <v>102</v>
      </c>
    </row>
    <row r="11" customFormat="false" ht="26.85" hidden="false" customHeight="false" outlineLevel="0" collapsed="false">
      <c r="A11" s="12" t="n">
        <v>10</v>
      </c>
      <c r="B11" s="12" t="s">
        <v>37</v>
      </c>
      <c r="C11" s="12" t="s">
        <v>103</v>
      </c>
      <c r="D11" s="12" t="s">
        <v>104</v>
      </c>
      <c r="E11" s="12" t="n">
        <v>1</v>
      </c>
      <c r="F11" s="12" t="s">
        <v>84</v>
      </c>
      <c r="G11" s="12" t="s">
        <v>85</v>
      </c>
      <c r="H11" s="12" t="s">
        <v>105</v>
      </c>
      <c r="I11" s="12" t="s">
        <v>106</v>
      </c>
      <c r="J11" s="15" t="s">
        <v>13</v>
      </c>
      <c r="K11" s="12" t="s">
        <v>107</v>
      </c>
      <c r="L11" s="12" t="s">
        <v>108</v>
      </c>
    </row>
    <row r="12" customFormat="false" ht="26.85" hidden="false" customHeight="false" outlineLevel="0" collapsed="false">
      <c r="A12" s="12" t="n">
        <v>11</v>
      </c>
      <c r="B12" s="12" t="s">
        <v>95</v>
      </c>
      <c r="C12" s="12" t="s">
        <v>109</v>
      </c>
      <c r="D12" s="12" t="s">
        <v>110</v>
      </c>
      <c r="E12" s="12" t="n">
        <v>1</v>
      </c>
      <c r="F12" s="12" t="s">
        <v>98</v>
      </c>
      <c r="G12" s="12" t="s">
        <v>85</v>
      </c>
      <c r="H12" s="12" t="s">
        <v>111</v>
      </c>
      <c r="I12" s="12" t="s">
        <v>106</v>
      </c>
      <c r="J12" s="15" t="s">
        <v>13</v>
      </c>
      <c r="K12" s="12" t="s">
        <v>112</v>
      </c>
      <c r="L12" s="12"/>
    </row>
    <row r="13" customFormat="false" ht="26.85" hidden="false" customHeight="false" outlineLevel="0" collapsed="false">
      <c r="A13" s="12" t="n">
        <v>12</v>
      </c>
      <c r="B13" s="12" t="s">
        <v>113</v>
      </c>
      <c r="C13" s="12" t="s">
        <v>114</v>
      </c>
      <c r="D13" s="12" t="s">
        <v>115</v>
      </c>
      <c r="E13" s="12" t="n">
        <v>1</v>
      </c>
      <c r="F13" s="12" t="s">
        <v>116</v>
      </c>
      <c r="G13" s="12" t="s">
        <v>117</v>
      </c>
      <c r="H13" s="12" t="s">
        <v>118</v>
      </c>
      <c r="I13" s="12" t="s">
        <v>119</v>
      </c>
      <c r="J13" s="15" t="s">
        <v>13</v>
      </c>
      <c r="K13" s="12" t="s">
        <v>120</v>
      </c>
      <c r="L13" s="12" t="s">
        <v>121</v>
      </c>
    </row>
    <row r="14" customFormat="false" ht="39.55" hidden="false" customHeight="false" outlineLevel="0" collapsed="false">
      <c r="A14" s="12" t="n">
        <v>13</v>
      </c>
      <c r="B14" s="12" t="s">
        <v>113</v>
      </c>
      <c r="C14" s="12" t="s">
        <v>122</v>
      </c>
      <c r="D14" s="12" t="s">
        <v>123</v>
      </c>
      <c r="E14" s="12" t="n">
        <v>1</v>
      </c>
      <c r="F14" s="12" t="s">
        <v>124</v>
      </c>
      <c r="G14" s="12" t="s">
        <v>125</v>
      </c>
      <c r="H14" s="12" t="s">
        <v>126</v>
      </c>
      <c r="I14" s="12" t="s">
        <v>119</v>
      </c>
      <c r="J14" s="15" t="s">
        <v>13</v>
      </c>
      <c r="K14" s="12" t="s">
        <v>127</v>
      </c>
      <c r="L14" s="12" t="s">
        <v>128</v>
      </c>
    </row>
    <row r="15" customFormat="false" ht="64.9" hidden="false" customHeight="false" outlineLevel="0" collapsed="false">
      <c r="A15" s="12" t="n">
        <v>14</v>
      </c>
      <c r="B15" s="12" t="s">
        <v>37</v>
      </c>
      <c r="C15" s="12" t="s">
        <v>129</v>
      </c>
      <c r="D15" s="12" t="s">
        <v>129</v>
      </c>
      <c r="E15" s="12" t="n">
        <v>1</v>
      </c>
      <c r="F15" s="12" t="s">
        <v>40</v>
      </c>
      <c r="G15" s="12" t="s">
        <v>70</v>
      </c>
      <c r="H15" s="12" t="s">
        <v>130</v>
      </c>
      <c r="I15" s="12" t="s">
        <v>131</v>
      </c>
      <c r="J15" s="16" t="s">
        <v>15</v>
      </c>
      <c r="K15" s="12" t="s">
        <v>66</v>
      </c>
      <c r="L15" s="12" t="s">
        <v>132</v>
      </c>
    </row>
    <row r="16" customFormat="false" ht="64.9" hidden="false" customHeight="false" outlineLevel="0" collapsed="false">
      <c r="A16" s="12" t="n">
        <v>15</v>
      </c>
      <c r="B16" s="12" t="s">
        <v>37</v>
      </c>
      <c r="C16" s="12" t="s">
        <v>133</v>
      </c>
      <c r="D16" s="12" t="s">
        <v>134</v>
      </c>
      <c r="E16" s="12" t="n">
        <v>40</v>
      </c>
      <c r="F16" s="12" t="s">
        <v>135</v>
      </c>
      <c r="G16" s="12" t="s">
        <v>136</v>
      </c>
      <c r="H16" s="12" t="s">
        <v>137</v>
      </c>
      <c r="I16" s="12" t="s">
        <v>138</v>
      </c>
      <c r="J16" s="15" t="s">
        <v>13</v>
      </c>
      <c r="K16" s="12" t="s">
        <v>139</v>
      </c>
      <c r="L16" s="12" t="s">
        <v>140</v>
      </c>
    </row>
    <row r="17" customFormat="false" ht="39.55" hidden="false" customHeight="false" outlineLevel="0" collapsed="false">
      <c r="A17" s="12" t="n">
        <v>16</v>
      </c>
      <c r="B17" s="12" t="s">
        <v>37</v>
      </c>
      <c r="C17" s="12" t="s">
        <v>141</v>
      </c>
      <c r="D17" s="12" t="s">
        <v>142</v>
      </c>
      <c r="E17" s="12" t="n">
        <v>75</v>
      </c>
      <c r="F17" s="12" t="s">
        <v>143</v>
      </c>
      <c r="G17" s="12" t="s">
        <v>144</v>
      </c>
      <c r="H17" s="12" t="s">
        <v>145</v>
      </c>
      <c r="I17" s="12" t="s">
        <v>146</v>
      </c>
      <c r="J17" s="14" t="s">
        <v>11</v>
      </c>
      <c r="K17" s="12" t="s">
        <v>147</v>
      </c>
      <c r="L17" s="12" t="s">
        <v>148</v>
      </c>
    </row>
    <row r="18" customFormat="false" ht="26.85" hidden="false" customHeight="false" outlineLevel="0" collapsed="false">
      <c r="A18" s="12" t="n">
        <v>17</v>
      </c>
      <c r="B18" s="12" t="s">
        <v>37</v>
      </c>
      <c r="C18" s="12" t="s">
        <v>149</v>
      </c>
      <c r="D18" s="12" t="s">
        <v>150</v>
      </c>
      <c r="E18" s="12" t="n">
        <v>60</v>
      </c>
      <c r="F18" s="12" t="s">
        <v>151</v>
      </c>
      <c r="G18" s="12" t="s">
        <v>152</v>
      </c>
      <c r="H18" s="12" t="s">
        <v>153</v>
      </c>
      <c r="I18" s="12" t="s">
        <v>154</v>
      </c>
      <c r="J18" s="14" t="s">
        <v>11</v>
      </c>
      <c r="K18" s="12" t="s">
        <v>139</v>
      </c>
      <c r="L18" s="12" t="s">
        <v>155</v>
      </c>
    </row>
    <row r="19" customFormat="false" ht="39.55" hidden="false" customHeight="false" outlineLevel="0" collapsed="false">
      <c r="A19" s="12" t="n">
        <v>18</v>
      </c>
      <c r="B19" s="12" t="s">
        <v>37</v>
      </c>
      <c r="C19" s="12" t="s">
        <v>156</v>
      </c>
      <c r="D19" s="12" t="s">
        <v>157</v>
      </c>
      <c r="E19" s="12" t="n">
        <v>1</v>
      </c>
      <c r="F19" s="12" t="s">
        <v>158</v>
      </c>
      <c r="G19" s="12" t="s">
        <v>159</v>
      </c>
      <c r="H19" s="12" t="s">
        <v>160</v>
      </c>
      <c r="I19" s="12" t="s">
        <v>161</v>
      </c>
      <c r="J19" s="16" t="s">
        <v>15</v>
      </c>
      <c r="K19" s="12" t="s">
        <v>162</v>
      </c>
      <c r="L19" s="12" t="s">
        <v>163</v>
      </c>
    </row>
    <row r="20" customFormat="false" ht="52.2" hidden="false" customHeight="false" outlineLevel="0" collapsed="false">
      <c r="A20" s="12" t="n">
        <v>19</v>
      </c>
      <c r="B20" s="12" t="s">
        <v>37</v>
      </c>
      <c r="C20" s="12" t="s">
        <v>164</v>
      </c>
      <c r="D20" s="12" t="s">
        <v>165</v>
      </c>
      <c r="E20" s="12" t="n">
        <v>45</v>
      </c>
      <c r="F20" s="12" t="s">
        <v>166</v>
      </c>
      <c r="G20" s="12" t="s">
        <v>167</v>
      </c>
      <c r="H20" s="12" t="s">
        <v>168</v>
      </c>
      <c r="I20" s="12" t="s">
        <v>169</v>
      </c>
      <c r="J20" s="16" t="s">
        <v>15</v>
      </c>
      <c r="K20" s="12" t="s">
        <v>170</v>
      </c>
      <c r="L20" s="12" t="s">
        <v>171</v>
      </c>
    </row>
    <row r="21" customFormat="false" ht="26.85" hidden="false" customHeight="false" outlineLevel="0" collapsed="false">
      <c r="A21" s="12" t="n">
        <v>20</v>
      </c>
      <c r="B21" s="12" t="s">
        <v>37</v>
      </c>
      <c r="C21" s="12" t="s">
        <v>172</v>
      </c>
      <c r="D21" s="12" t="s">
        <v>173</v>
      </c>
      <c r="E21" s="12" t="n">
        <v>68</v>
      </c>
      <c r="F21" s="12" t="s">
        <v>174</v>
      </c>
      <c r="G21" s="12" t="s">
        <v>70</v>
      </c>
      <c r="H21" s="12" t="s">
        <v>175</v>
      </c>
      <c r="I21" s="12" t="s">
        <v>176</v>
      </c>
      <c r="J21" s="16" t="s">
        <v>15</v>
      </c>
      <c r="K21" s="12" t="s">
        <v>66</v>
      </c>
      <c r="L21" s="12" t="s">
        <v>177</v>
      </c>
    </row>
    <row r="22" customFormat="false" ht="64.9" hidden="false" customHeight="false" outlineLevel="0" collapsed="false">
      <c r="A22" s="12" t="n">
        <v>21</v>
      </c>
      <c r="B22" s="12" t="s">
        <v>178</v>
      </c>
      <c r="C22" s="12" t="s">
        <v>179</v>
      </c>
      <c r="D22" s="12" t="s">
        <v>180</v>
      </c>
      <c r="E22" s="12" t="n">
        <v>1</v>
      </c>
      <c r="F22" s="12" t="s">
        <v>40</v>
      </c>
      <c r="G22" s="12" t="s">
        <v>181</v>
      </c>
      <c r="H22" s="12" t="s">
        <v>182</v>
      </c>
      <c r="I22" s="12" t="s">
        <v>183</v>
      </c>
      <c r="J22" s="13" t="s">
        <v>9</v>
      </c>
      <c r="K22" s="12" t="s">
        <v>44</v>
      </c>
      <c r="L22" s="12" t="s">
        <v>184</v>
      </c>
    </row>
    <row r="23" customFormat="false" ht="26.85" hidden="false" customHeight="false" outlineLevel="0" collapsed="false">
      <c r="A23" s="12" t="n">
        <v>22</v>
      </c>
      <c r="B23" s="12" t="s">
        <v>178</v>
      </c>
      <c r="C23" s="12" t="s">
        <v>185</v>
      </c>
      <c r="D23" s="12" t="s">
        <v>186</v>
      </c>
      <c r="E23" s="12" t="n">
        <v>60</v>
      </c>
      <c r="F23" s="12" t="s">
        <v>187</v>
      </c>
      <c r="G23" s="12" t="s">
        <v>188</v>
      </c>
      <c r="H23" s="12" t="s">
        <v>189</v>
      </c>
      <c r="I23" s="12" t="s">
        <v>190</v>
      </c>
      <c r="J23" s="13" t="s">
        <v>9</v>
      </c>
      <c r="K23" s="12" t="s">
        <v>44</v>
      </c>
      <c r="L23" s="12" t="s">
        <v>191</v>
      </c>
    </row>
    <row r="24" customFormat="false" ht="52.2" hidden="false" customHeight="false" outlineLevel="0" collapsed="false">
      <c r="A24" s="12" t="n">
        <v>23</v>
      </c>
      <c r="B24" s="12" t="s">
        <v>178</v>
      </c>
      <c r="C24" s="12" t="s">
        <v>192</v>
      </c>
      <c r="D24" s="12" t="s">
        <v>193</v>
      </c>
      <c r="E24" s="12" t="n">
        <v>1</v>
      </c>
      <c r="F24" s="12" t="s">
        <v>194</v>
      </c>
      <c r="G24" s="12" t="s">
        <v>195</v>
      </c>
      <c r="H24" s="12" t="s">
        <v>196</v>
      </c>
      <c r="I24" s="12" t="s">
        <v>197</v>
      </c>
      <c r="J24" s="13" t="s">
        <v>9</v>
      </c>
      <c r="K24" s="12" t="s">
        <v>58</v>
      </c>
      <c r="L24" s="12" t="s">
        <v>198</v>
      </c>
    </row>
    <row r="25" customFormat="false" ht="90.25" hidden="false" customHeight="false" outlineLevel="0" collapsed="false">
      <c r="A25" s="12" t="n">
        <v>24</v>
      </c>
      <c r="B25" s="12" t="s">
        <v>178</v>
      </c>
      <c r="C25" s="12" t="s">
        <v>199</v>
      </c>
      <c r="D25" s="12" t="s">
        <v>200</v>
      </c>
      <c r="E25" s="12" t="n">
        <v>1</v>
      </c>
      <c r="F25" s="12" t="s">
        <v>201</v>
      </c>
      <c r="G25" s="12" t="s">
        <v>195</v>
      </c>
      <c r="H25" s="12" t="s">
        <v>202</v>
      </c>
      <c r="I25" s="12" t="s">
        <v>203</v>
      </c>
      <c r="J25" s="13" t="s">
        <v>9</v>
      </c>
      <c r="K25" s="12" t="s">
        <v>204</v>
      </c>
      <c r="L25" s="12" t="s">
        <v>205</v>
      </c>
    </row>
    <row r="26" customFormat="false" ht="64.9" hidden="false" customHeight="false" outlineLevel="0" collapsed="false">
      <c r="A26" s="12" t="n">
        <v>25</v>
      </c>
      <c r="B26" s="12" t="s">
        <v>178</v>
      </c>
      <c r="C26" s="12" t="s">
        <v>206</v>
      </c>
      <c r="D26" s="12" t="s">
        <v>207</v>
      </c>
      <c r="E26" s="12" t="n">
        <v>60</v>
      </c>
      <c r="F26" s="12" t="s">
        <v>40</v>
      </c>
      <c r="G26" s="12" t="s">
        <v>208</v>
      </c>
      <c r="H26" s="12" t="s">
        <v>209</v>
      </c>
      <c r="I26" s="12" t="s">
        <v>210</v>
      </c>
      <c r="J26" s="15" t="s">
        <v>13</v>
      </c>
      <c r="K26" s="12" t="s">
        <v>211</v>
      </c>
      <c r="L26" s="12"/>
    </row>
    <row r="27" customFormat="false" ht="26.85" hidden="false" customHeight="false" outlineLevel="0" collapsed="false">
      <c r="A27" s="12" t="n">
        <v>26</v>
      </c>
      <c r="B27" s="12" t="s">
        <v>17</v>
      </c>
      <c r="C27" s="12" t="s">
        <v>212</v>
      </c>
      <c r="D27" s="12" t="s">
        <v>212</v>
      </c>
      <c r="E27" s="12" t="n">
        <v>40</v>
      </c>
      <c r="F27" s="12" t="s">
        <v>213</v>
      </c>
      <c r="G27" s="12" t="s">
        <v>214</v>
      </c>
      <c r="H27" s="12" t="s">
        <v>215</v>
      </c>
      <c r="I27" s="12" t="s">
        <v>216</v>
      </c>
      <c r="J27" s="17" t="s">
        <v>17</v>
      </c>
      <c r="K27" s="12" t="s">
        <v>217</v>
      </c>
      <c r="L27" s="12" t="s">
        <v>218</v>
      </c>
    </row>
    <row r="28" customFormat="false" ht="26.85" hidden="false" customHeight="false" outlineLevel="0" collapsed="false">
      <c r="A28" s="12" t="n">
        <v>27</v>
      </c>
      <c r="B28" s="12" t="s">
        <v>19</v>
      </c>
      <c r="C28" s="12" t="s">
        <v>219</v>
      </c>
      <c r="D28" s="12" t="s">
        <v>219</v>
      </c>
      <c r="E28" s="12" t="n">
        <v>45</v>
      </c>
      <c r="F28" s="12" t="s">
        <v>220</v>
      </c>
      <c r="G28" s="12" t="s">
        <v>221</v>
      </c>
      <c r="H28" s="12" t="s">
        <v>222</v>
      </c>
      <c r="I28" s="12" t="s">
        <v>216</v>
      </c>
      <c r="J28" s="18" t="s">
        <v>19</v>
      </c>
      <c r="K28" s="12" t="s">
        <v>217</v>
      </c>
      <c r="L28" s="12" t="s">
        <v>223</v>
      </c>
    </row>
    <row r="29" customFormat="false" ht="90.25" hidden="false" customHeight="false" outlineLevel="0" collapsed="false">
      <c r="A29" s="12" t="n">
        <v>28</v>
      </c>
      <c r="B29" s="12" t="s">
        <v>95</v>
      </c>
      <c r="C29" s="12" t="s">
        <v>224</v>
      </c>
      <c r="D29" s="12" t="s">
        <v>225</v>
      </c>
      <c r="E29" s="12" t="n">
        <v>1</v>
      </c>
      <c r="F29" s="12" t="s">
        <v>226</v>
      </c>
      <c r="G29" s="12" t="s">
        <v>227</v>
      </c>
      <c r="H29" s="12" t="s">
        <v>228</v>
      </c>
      <c r="I29" s="12" t="s">
        <v>229</v>
      </c>
      <c r="J29" s="13" t="s">
        <v>9</v>
      </c>
      <c r="K29" s="12" t="s">
        <v>44</v>
      </c>
      <c r="L29" s="12" t="s">
        <v>230</v>
      </c>
    </row>
    <row r="30" customFormat="false" ht="26.85" hidden="false" customHeight="false" outlineLevel="0" collapsed="false">
      <c r="A30" s="12" t="n">
        <v>29</v>
      </c>
      <c r="B30" s="12" t="s">
        <v>95</v>
      </c>
      <c r="C30" s="12" t="s">
        <v>231</v>
      </c>
      <c r="D30" s="12" t="s">
        <v>232</v>
      </c>
      <c r="E30" s="12" t="n">
        <v>75</v>
      </c>
      <c r="F30" s="12" t="s">
        <v>233</v>
      </c>
      <c r="G30" s="12" t="s">
        <v>234</v>
      </c>
      <c r="H30" s="12" t="s">
        <v>235</v>
      </c>
      <c r="I30" s="12" t="s">
        <v>236</v>
      </c>
      <c r="J30" s="14" t="s">
        <v>11</v>
      </c>
      <c r="K30" s="12" t="s">
        <v>237</v>
      </c>
      <c r="L30" s="12" t="s">
        <v>238</v>
      </c>
    </row>
    <row r="31" customFormat="false" ht="64.9" hidden="false" customHeight="false" outlineLevel="0" collapsed="false">
      <c r="A31" s="12" t="n">
        <v>30</v>
      </c>
      <c r="B31" s="12" t="s">
        <v>95</v>
      </c>
      <c r="C31" s="12" t="s">
        <v>239</v>
      </c>
      <c r="D31" s="12" t="s">
        <v>240</v>
      </c>
      <c r="E31" s="12" t="n">
        <v>60</v>
      </c>
      <c r="F31" s="12" t="s">
        <v>40</v>
      </c>
      <c r="G31" s="12" t="s">
        <v>208</v>
      </c>
      <c r="H31" s="12" t="s">
        <v>241</v>
      </c>
      <c r="I31" s="12" t="s">
        <v>210</v>
      </c>
      <c r="J31" s="15" t="s">
        <v>13</v>
      </c>
      <c r="K31" s="12" t="s">
        <v>242</v>
      </c>
      <c r="L31" s="12"/>
    </row>
    <row r="32" customFormat="false" ht="52.2" hidden="false" customHeight="false" outlineLevel="0" collapsed="false">
      <c r="A32" s="12" t="n">
        <v>31</v>
      </c>
      <c r="B32" s="12" t="s">
        <v>243</v>
      </c>
      <c r="C32" s="12" t="s">
        <v>244</v>
      </c>
      <c r="D32" s="12" t="s">
        <v>245</v>
      </c>
      <c r="E32" s="12" t="n">
        <v>1</v>
      </c>
      <c r="F32" s="12" t="s">
        <v>246</v>
      </c>
      <c r="G32" s="12" t="s">
        <v>227</v>
      </c>
      <c r="H32" s="12" t="s">
        <v>247</v>
      </c>
      <c r="I32" s="12" t="s">
        <v>248</v>
      </c>
      <c r="J32" s="13" t="s">
        <v>9</v>
      </c>
      <c r="K32" s="12" t="s">
        <v>233</v>
      </c>
      <c r="L32" s="12" t="s">
        <v>249</v>
      </c>
    </row>
    <row r="33" customFormat="false" ht="77.6" hidden="false" customHeight="false" outlineLevel="0" collapsed="false">
      <c r="A33" s="12" t="n">
        <v>32</v>
      </c>
      <c r="B33" s="12" t="s">
        <v>250</v>
      </c>
      <c r="C33" s="12" t="s">
        <v>251</v>
      </c>
      <c r="D33" s="12" t="s">
        <v>252</v>
      </c>
      <c r="E33" s="12" t="n">
        <v>1</v>
      </c>
      <c r="F33" s="12" t="s">
        <v>253</v>
      </c>
      <c r="G33" s="12" t="s">
        <v>254</v>
      </c>
      <c r="H33" s="12" t="s">
        <v>255</v>
      </c>
      <c r="I33" s="12" t="s">
        <v>256</v>
      </c>
      <c r="J33" s="16" t="s">
        <v>15</v>
      </c>
      <c r="K33" s="12" t="s">
        <v>257</v>
      </c>
      <c r="L33" s="12" t="s">
        <v>258</v>
      </c>
    </row>
    <row r="34" customFormat="false" ht="26.85" hidden="false" customHeight="false" outlineLevel="0" collapsed="false">
      <c r="A34" s="12" t="n">
        <v>33</v>
      </c>
      <c r="B34" s="12" t="s">
        <v>259</v>
      </c>
      <c r="C34" s="12" t="s">
        <v>260</v>
      </c>
      <c r="D34" s="12" t="s">
        <v>261</v>
      </c>
      <c r="E34" s="12" t="n">
        <v>45</v>
      </c>
      <c r="F34" s="12" t="s">
        <v>262</v>
      </c>
      <c r="G34" s="12" t="s">
        <v>167</v>
      </c>
      <c r="H34" s="12" t="s">
        <v>263</v>
      </c>
      <c r="I34" s="12" t="s">
        <v>256</v>
      </c>
      <c r="J34" s="16" t="s">
        <v>15</v>
      </c>
      <c r="K34" s="12" t="s">
        <v>264</v>
      </c>
      <c r="L34" s="12" t="s">
        <v>265</v>
      </c>
    </row>
    <row r="35" customFormat="false" ht="64.9" hidden="false" customHeight="false" outlineLevel="0" collapsed="false">
      <c r="A35" s="12" t="n">
        <v>34</v>
      </c>
      <c r="B35" s="12" t="s">
        <v>250</v>
      </c>
      <c r="C35" s="12" t="s">
        <v>266</v>
      </c>
      <c r="D35" s="12" t="s">
        <v>267</v>
      </c>
      <c r="E35" s="12" t="n">
        <v>68</v>
      </c>
      <c r="F35" s="12" t="s">
        <v>268</v>
      </c>
      <c r="G35" s="12" t="s">
        <v>269</v>
      </c>
      <c r="H35" s="12" t="s">
        <v>270</v>
      </c>
      <c r="I35" s="12" t="s">
        <v>256</v>
      </c>
      <c r="J35" s="16" t="s">
        <v>15</v>
      </c>
      <c r="K35" s="12" t="s">
        <v>170</v>
      </c>
      <c r="L35" s="12"/>
    </row>
    <row r="36" customFormat="false" ht="26.85" hidden="false" customHeight="false" outlineLevel="0" collapsed="false">
      <c r="A36" s="12" t="n">
        <v>35</v>
      </c>
      <c r="B36" s="12" t="s">
        <v>250</v>
      </c>
      <c r="C36" s="12" t="s">
        <v>271</v>
      </c>
      <c r="D36" s="12" t="s">
        <v>272</v>
      </c>
      <c r="E36" s="12" t="n">
        <v>1</v>
      </c>
      <c r="F36" s="12" t="s">
        <v>273</v>
      </c>
      <c r="G36" s="12" t="s">
        <v>274</v>
      </c>
      <c r="H36" s="12" t="s">
        <v>275</v>
      </c>
      <c r="I36" s="12" t="s">
        <v>256</v>
      </c>
      <c r="J36" s="16" t="s">
        <v>15</v>
      </c>
      <c r="K36" s="12" t="s">
        <v>147</v>
      </c>
      <c r="L36" s="12"/>
    </row>
    <row r="37" customFormat="false" ht="26.85" hidden="false" customHeight="false" outlineLevel="0" collapsed="false">
      <c r="A37" s="12" t="n">
        <v>36</v>
      </c>
      <c r="B37" s="12" t="s">
        <v>250</v>
      </c>
      <c r="C37" s="12" t="s">
        <v>276</v>
      </c>
      <c r="D37" s="12" t="s">
        <v>277</v>
      </c>
      <c r="E37" s="12" t="n">
        <v>45</v>
      </c>
      <c r="F37" s="12" t="s">
        <v>174</v>
      </c>
      <c r="G37" s="12" t="s">
        <v>70</v>
      </c>
      <c r="H37" s="12" t="s">
        <v>278</v>
      </c>
      <c r="I37" s="12" t="s">
        <v>256</v>
      </c>
      <c r="J37" s="16" t="s">
        <v>15</v>
      </c>
      <c r="K37" s="12" t="s">
        <v>279</v>
      </c>
      <c r="L37" s="12"/>
    </row>
    <row r="38" customFormat="false" ht="26.85" hidden="false" customHeight="false" outlineLevel="0" collapsed="false">
      <c r="A38" s="12" t="n">
        <v>37</v>
      </c>
      <c r="B38" s="12" t="s">
        <v>250</v>
      </c>
      <c r="C38" s="12" t="s">
        <v>280</v>
      </c>
      <c r="D38" s="12" t="s">
        <v>281</v>
      </c>
      <c r="E38" s="12" t="n">
        <v>1</v>
      </c>
      <c r="F38" s="12" t="s">
        <v>282</v>
      </c>
      <c r="G38" s="12" t="s">
        <v>283</v>
      </c>
      <c r="H38" s="12" t="s">
        <v>284</v>
      </c>
      <c r="I38" s="12" t="s">
        <v>256</v>
      </c>
      <c r="J38" s="16" t="s">
        <v>15</v>
      </c>
      <c r="K38" s="12" t="s">
        <v>285</v>
      </c>
      <c r="L38" s="12"/>
    </row>
    <row r="39" customFormat="false" ht="26.85" hidden="false" customHeight="false" outlineLevel="0" collapsed="false">
      <c r="A39" s="12" t="n">
        <v>38</v>
      </c>
      <c r="B39" s="12" t="s">
        <v>286</v>
      </c>
      <c r="C39" s="12" t="s">
        <v>287</v>
      </c>
      <c r="D39" s="12" t="s">
        <v>288</v>
      </c>
      <c r="E39" s="12" t="n">
        <v>75</v>
      </c>
      <c r="F39" s="12" t="s">
        <v>116</v>
      </c>
      <c r="G39" s="12" t="s">
        <v>289</v>
      </c>
      <c r="H39" s="12" t="s">
        <v>290</v>
      </c>
      <c r="I39" s="12" t="s">
        <v>291</v>
      </c>
      <c r="J39" s="16" t="s">
        <v>15</v>
      </c>
      <c r="K39" s="12" t="s">
        <v>147</v>
      </c>
      <c r="L39" s="12" t="s">
        <v>292</v>
      </c>
    </row>
    <row r="40" customFormat="false" ht="26.85" hidden="false" customHeight="false" outlineLevel="0" collapsed="false">
      <c r="A40" s="12" t="n">
        <v>39</v>
      </c>
      <c r="B40" s="12" t="s">
        <v>286</v>
      </c>
      <c r="C40" s="12" t="s">
        <v>293</v>
      </c>
      <c r="D40" s="12" t="s">
        <v>294</v>
      </c>
      <c r="E40" s="12" t="n">
        <v>68</v>
      </c>
      <c r="F40" s="12" t="s">
        <v>295</v>
      </c>
      <c r="G40" s="12" t="s">
        <v>296</v>
      </c>
      <c r="H40" s="12" t="s">
        <v>297</v>
      </c>
      <c r="I40" s="12" t="s">
        <v>298</v>
      </c>
      <c r="J40" s="16" t="s">
        <v>15</v>
      </c>
      <c r="K40" s="12" t="s">
        <v>170</v>
      </c>
      <c r="L40" s="12"/>
    </row>
    <row r="41" customFormat="false" ht="39.55" hidden="false" customHeight="false" outlineLevel="0" collapsed="false">
      <c r="A41" s="12" t="n">
        <v>40</v>
      </c>
      <c r="B41" s="12" t="s">
        <v>299</v>
      </c>
      <c r="C41" s="12" t="s">
        <v>300</v>
      </c>
      <c r="D41" s="12" t="s">
        <v>301</v>
      </c>
      <c r="E41" s="12" t="n">
        <v>1</v>
      </c>
      <c r="F41" s="12" t="s">
        <v>302</v>
      </c>
      <c r="G41" s="12" t="s">
        <v>303</v>
      </c>
      <c r="H41" s="12" t="s">
        <v>304</v>
      </c>
      <c r="I41" s="12" t="s">
        <v>305</v>
      </c>
      <c r="J41" s="19" t="s">
        <v>21</v>
      </c>
      <c r="K41" s="12" t="s">
        <v>211</v>
      </c>
      <c r="L41" s="12" t="s">
        <v>306</v>
      </c>
    </row>
    <row r="42" customFormat="false" ht="26.85" hidden="false" customHeight="false" outlineLevel="0" collapsed="false">
      <c r="A42" s="12" t="n">
        <v>41</v>
      </c>
      <c r="B42" s="12" t="s">
        <v>307</v>
      </c>
      <c r="C42" s="12" t="s">
        <v>308</v>
      </c>
      <c r="D42" s="12" t="s">
        <v>309</v>
      </c>
      <c r="E42" s="12" t="n">
        <v>1</v>
      </c>
      <c r="F42" s="12" t="s">
        <v>310</v>
      </c>
      <c r="G42" s="12" t="s">
        <v>188</v>
      </c>
      <c r="H42" s="12" t="s">
        <v>311</v>
      </c>
      <c r="I42" s="12" t="s">
        <v>312</v>
      </c>
      <c r="J42" s="16" t="s">
        <v>15</v>
      </c>
      <c r="K42" s="12" t="s">
        <v>313</v>
      </c>
      <c r="L42" s="12" t="s">
        <v>314</v>
      </c>
    </row>
    <row r="43" customFormat="false" ht="77.6" hidden="false" customHeight="false" outlineLevel="0" collapsed="false">
      <c r="A43" s="12" t="n">
        <v>42</v>
      </c>
      <c r="B43" s="12" t="s">
        <v>307</v>
      </c>
      <c r="C43" s="12" t="s">
        <v>315</v>
      </c>
      <c r="D43" s="12" t="s">
        <v>316</v>
      </c>
      <c r="E43" s="12" t="n">
        <v>40</v>
      </c>
      <c r="F43" s="12" t="s">
        <v>317</v>
      </c>
      <c r="G43" s="12" t="s">
        <v>318</v>
      </c>
      <c r="H43" s="12" t="s">
        <v>319</v>
      </c>
      <c r="I43" s="12" t="s">
        <v>320</v>
      </c>
      <c r="J43" s="16" t="s">
        <v>15</v>
      </c>
      <c r="K43" s="12" t="s">
        <v>285</v>
      </c>
      <c r="L43" s="12"/>
    </row>
    <row r="44" customFormat="false" ht="64.9" hidden="false" customHeight="false" outlineLevel="0" collapsed="false">
      <c r="A44" s="12" t="n">
        <v>43</v>
      </c>
      <c r="B44" s="12" t="s">
        <v>307</v>
      </c>
      <c r="C44" s="12" t="s">
        <v>321</v>
      </c>
      <c r="D44" s="12" t="s">
        <v>322</v>
      </c>
      <c r="E44" s="12" t="n">
        <v>1</v>
      </c>
      <c r="F44" s="12" t="s">
        <v>323</v>
      </c>
      <c r="G44" s="12" t="s">
        <v>324</v>
      </c>
      <c r="H44" s="12" t="s">
        <v>325</v>
      </c>
      <c r="I44" s="12" t="s">
        <v>320</v>
      </c>
      <c r="J44" s="16" t="s">
        <v>15</v>
      </c>
      <c r="K44" s="12" t="s">
        <v>326</v>
      </c>
      <c r="L44" s="12"/>
    </row>
    <row r="45" customFormat="false" ht="64.9" hidden="false" customHeight="false" outlineLevel="0" collapsed="false">
      <c r="A45" s="12" t="n">
        <v>44</v>
      </c>
      <c r="B45" s="12" t="s">
        <v>307</v>
      </c>
      <c r="C45" s="12" t="s">
        <v>327</v>
      </c>
      <c r="D45" s="12" t="s">
        <v>328</v>
      </c>
      <c r="E45" s="12" t="n">
        <v>40</v>
      </c>
      <c r="F45" s="12" t="s">
        <v>329</v>
      </c>
      <c r="G45" s="12" t="s">
        <v>318</v>
      </c>
      <c r="H45" s="12" t="s">
        <v>330</v>
      </c>
      <c r="I45" s="12" t="s">
        <v>320</v>
      </c>
      <c r="J45" s="16" t="s">
        <v>15</v>
      </c>
      <c r="K45" s="12" t="s">
        <v>170</v>
      </c>
      <c r="L45" s="12"/>
    </row>
    <row r="46" customFormat="false" ht="26.85" hidden="false" customHeight="false" outlineLevel="0" collapsed="false">
      <c r="A46" s="12" t="n">
        <v>45</v>
      </c>
      <c r="B46" s="12" t="s">
        <v>307</v>
      </c>
      <c r="C46" s="12" t="s">
        <v>331</v>
      </c>
      <c r="D46" s="12" t="s">
        <v>332</v>
      </c>
      <c r="E46" s="12" t="n">
        <v>1</v>
      </c>
      <c r="F46" s="12" t="s">
        <v>262</v>
      </c>
      <c r="G46" s="12" t="s">
        <v>117</v>
      </c>
      <c r="H46" s="12" t="s">
        <v>333</v>
      </c>
      <c r="I46" s="12" t="s">
        <v>320</v>
      </c>
      <c r="J46" s="16" t="s">
        <v>15</v>
      </c>
      <c r="K46" s="12" t="s">
        <v>334</v>
      </c>
      <c r="L46" s="12"/>
    </row>
    <row r="47" customFormat="false" ht="26.85" hidden="false" customHeight="false" outlineLevel="0" collapsed="false">
      <c r="A47" s="12" t="n">
        <v>46</v>
      </c>
      <c r="B47" s="12" t="s">
        <v>307</v>
      </c>
      <c r="C47" s="12" t="s">
        <v>335</v>
      </c>
      <c r="D47" s="12" t="s">
        <v>336</v>
      </c>
      <c r="E47" s="12" t="n">
        <v>75</v>
      </c>
      <c r="F47" s="12" t="s">
        <v>262</v>
      </c>
      <c r="G47" s="12" t="s">
        <v>289</v>
      </c>
      <c r="H47" s="12" t="s">
        <v>337</v>
      </c>
      <c r="I47" s="12" t="s">
        <v>320</v>
      </c>
      <c r="J47" s="16" t="s">
        <v>15</v>
      </c>
      <c r="K47" s="12" t="s">
        <v>285</v>
      </c>
      <c r="L47" s="12" t="s">
        <v>338</v>
      </c>
    </row>
    <row r="48" customFormat="false" ht="52.2" hidden="false" customHeight="false" outlineLevel="0" collapsed="false">
      <c r="A48" s="12" t="n">
        <v>47</v>
      </c>
      <c r="B48" s="12" t="s">
        <v>307</v>
      </c>
      <c r="C48" s="12" t="s">
        <v>339</v>
      </c>
      <c r="D48" s="12" t="s">
        <v>340</v>
      </c>
      <c r="E48" s="12" t="n">
        <v>16</v>
      </c>
      <c r="F48" s="12" t="s">
        <v>341</v>
      </c>
      <c r="G48" s="12" t="s">
        <v>342</v>
      </c>
      <c r="H48" s="12" t="s">
        <v>343</v>
      </c>
      <c r="I48" s="12" t="s">
        <v>320</v>
      </c>
      <c r="J48" s="16" t="s">
        <v>15</v>
      </c>
      <c r="K48" s="12" t="s">
        <v>344</v>
      </c>
      <c r="L48" s="12" t="s">
        <v>345</v>
      </c>
    </row>
    <row r="49" customFormat="false" ht="64.9" hidden="false" customHeight="false" outlineLevel="0" collapsed="false">
      <c r="A49" s="12" t="n">
        <v>48</v>
      </c>
      <c r="B49" s="12" t="s">
        <v>307</v>
      </c>
      <c r="C49" s="12" t="s">
        <v>346</v>
      </c>
      <c r="D49" s="12" t="s">
        <v>347</v>
      </c>
      <c r="E49" s="12" t="n">
        <v>1</v>
      </c>
      <c r="F49" s="12" t="s">
        <v>348</v>
      </c>
      <c r="G49" s="12" t="s">
        <v>349</v>
      </c>
      <c r="H49" s="12" t="s">
        <v>350</v>
      </c>
      <c r="I49" s="12" t="s">
        <v>320</v>
      </c>
      <c r="J49" s="16" t="s">
        <v>15</v>
      </c>
      <c r="K49" s="12" t="s">
        <v>351</v>
      </c>
      <c r="L49" s="12"/>
    </row>
    <row r="50" customFormat="false" ht="39.55" hidden="false" customHeight="false" outlineLevel="0" collapsed="false">
      <c r="A50" s="12" t="n">
        <v>49</v>
      </c>
      <c r="B50" s="12" t="s">
        <v>307</v>
      </c>
      <c r="C50" s="12" t="s">
        <v>352</v>
      </c>
      <c r="D50" s="12" t="s">
        <v>353</v>
      </c>
      <c r="E50" s="12" t="n">
        <v>1</v>
      </c>
      <c r="F50" s="12" t="s">
        <v>354</v>
      </c>
      <c r="G50" s="12" t="s">
        <v>283</v>
      </c>
      <c r="H50" s="12" t="s">
        <v>355</v>
      </c>
      <c r="I50" s="12" t="s">
        <v>320</v>
      </c>
      <c r="J50" s="16" t="s">
        <v>15</v>
      </c>
      <c r="K50" s="12" t="s">
        <v>356</v>
      </c>
      <c r="L50" s="12" t="s">
        <v>357</v>
      </c>
    </row>
    <row r="51" customFormat="false" ht="39.55" hidden="false" customHeight="false" outlineLevel="0" collapsed="false">
      <c r="A51" s="12" t="n">
        <v>50</v>
      </c>
      <c r="B51" s="12" t="s">
        <v>113</v>
      </c>
      <c r="C51" s="12" t="s">
        <v>358</v>
      </c>
      <c r="D51" s="12" t="s">
        <v>359</v>
      </c>
      <c r="E51" s="12" t="n">
        <v>50</v>
      </c>
      <c r="F51" s="12" t="s">
        <v>360</v>
      </c>
      <c r="G51" s="12" t="s">
        <v>136</v>
      </c>
      <c r="H51" s="12" t="s">
        <v>361</v>
      </c>
      <c r="I51" s="12" t="s">
        <v>362</v>
      </c>
      <c r="J51" s="13" t="s">
        <v>9</v>
      </c>
      <c r="K51" s="12" t="s">
        <v>120</v>
      </c>
      <c r="L51" s="12" t="s">
        <v>363</v>
      </c>
    </row>
    <row r="52" customFormat="false" ht="90.25" hidden="false" customHeight="false" outlineLevel="0" collapsed="false">
      <c r="A52" s="12" t="n">
        <v>51</v>
      </c>
      <c r="B52" s="12" t="s">
        <v>113</v>
      </c>
      <c r="C52" s="12" t="s">
        <v>364</v>
      </c>
      <c r="D52" s="12" t="s">
        <v>365</v>
      </c>
      <c r="E52" s="12" t="n">
        <v>1</v>
      </c>
      <c r="F52" s="12" t="s">
        <v>366</v>
      </c>
      <c r="G52" s="12" t="s">
        <v>99</v>
      </c>
      <c r="H52" s="12" t="s">
        <v>367</v>
      </c>
      <c r="I52" s="12" t="s">
        <v>65</v>
      </c>
      <c r="J52" s="15" t="s">
        <v>13</v>
      </c>
      <c r="K52" s="12" t="s">
        <v>127</v>
      </c>
      <c r="L52" s="12" t="s">
        <v>368</v>
      </c>
    </row>
    <row r="53" customFormat="false" ht="64.9" hidden="false" customHeight="false" outlineLevel="0" collapsed="false">
      <c r="A53" s="12" t="n">
        <v>52</v>
      </c>
      <c r="B53" s="12" t="s">
        <v>113</v>
      </c>
      <c r="C53" s="12" t="s">
        <v>369</v>
      </c>
      <c r="D53" s="12" t="s">
        <v>370</v>
      </c>
      <c r="E53" s="12" t="n">
        <v>36</v>
      </c>
      <c r="F53" s="12" t="s">
        <v>371</v>
      </c>
      <c r="G53" s="12" t="s">
        <v>372</v>
      </c>
      <c r="H53" s="12" t="s">
        <v>373</v>
      </c>
      <c r="I53" s="12" t="s">
        <v>65</v>
      </c>
      <c r="J53" s="15" t="s">
        <v>13</v>
      </c>
      <c r="K53" s="12" t="s">
        <v>374</v>
      </c>
      <c r="L53" s="12"/>
    </row>
    <row r="54" customFormat="false" ht="52.2" hidden="false" customHeight="false" outlineLevel="0" collapsed="false">
      <c r="A54" s="12" t="n">
        <v>53</v>
      </c>
      <c r="B54" s="12" t="s">
        <v>113</v>
      </c>
      <c r="C54" s="12" t="s">
        <v>375</v>
      </c>
      <c r="D54" s="12" t="s">
        <v>376</v>
      </c>
      <c r="E54" s="12" t="n">
        <v>55</v>
      </c>
      <c r="F54" s="12" t="s">
        <v>377</v>
      </c>
      <c r="G54" s="12" t="s">
        <v>136</v>
      </c>
      <c r="H54" s="12" t="s">
        <v>378</v>
      </c>
      <c r="I54" s="12" t="s">
        <v>65</v>
      </c>
      <c r="J54" s="15" t="s">
        <v>13</v>
      </c>
      <c r="K54" s="12" t="s">
        <v>120</v>
      </c>
      <c r="L54" s="12"/>
    </row>
    <row r="55" customFormat="false" ht="64.9" hidden="false" customHeight="false" outlineLevel="0" collapsed="false">
      <c r="A55" s="12" t="n">
        <v>54</v>
      </c>
      <c r="B55" s="12" t="s">
        <v>113</v>
      </c>
      <c r="C55" s="12" t="s">
        <v>379</v>
      </c>
      <c r="D55" s="12" t="s">
        <v>380</v>
      </c>
      <c r="E55" s="12" t="n">
        <v>1</v>
      </c>
      <c r="F55" s="12" t="s">
        <v>40</v>
      </c>
      <c r="G55" s="12" t="s">
        <v>117</v>
      </c>
      <c r="H55" s="12" t="s">
        <v>381</v>
      </c>
      <c r="I55" s="12" t="s">
        <v>65</v>
      </c>
      <c r="J55" s="15" t="s">
        <v>13</v>
      </c>
      <c r="K55" s="12" t="s">
        <v>120</v>
      </c>
      <c r="L55" s="12"/>
    </row>
    <row r="56" customFormat="false" ht="26.85" hidden="false" customHeight="false" outlineLevel="0" collapsed="false">
      <c r="A56" s="12" t="n">
        <v>55</v>
      </c>
      <c r="B56" s="12" t="s">
        <v>17</v>
      </c>
      <c r="C56" s="12" t="s">
        <v>382</v>
      </c>
      <c r="D56" s="12" t="s">
        <v>382</v>
      </c>
      <c r="E56" s="12" t="n">
        <v>68</v>
      </c>
      <c r="F56" s="12" t="s">
        <v>262</v>
      </c>
      <c r="G56" s="12" t="s">
        <v>383</v>
      </c>
      <c r="H56" s="12" t="s">
        <v>384</v>
      </c>
      <c r="I56" s="12" t="s">
        <v>216</v>
      </c>
      <c r="J56" s="17" t="s">
        <v>17</v>
      </c>
      <c r="K56" s="12" t="s">
        <v>385</v>
      </c>
      <c r="L56" s="12"/>
    </row>
    <row r="57" customFormat="false" ht="52.2" hidden="false" customHeight="false" outlineLevel="0" collapsed="false">
      <c r="A57" s="12" t="n">
        <v>56</v>
      </c>
      <c r="B57" s="12" t="s">
        <v>386</v>
      </c>
      <c r="C57" s="12" t="s">
        <v>387</v>
      </c>
      <c r="D57" s="12" t="s">
        <v>388</v>
      </c>
      <c r="E57" s="12" t="n">
        <v>1</v>
      </c>
      <c r="F57" s="12" t="s">
        <v>389</v>
      </c>
      <c r="G57" s="12" t="s">
        <v>390</v>
      </c>
      <c r="H57" s="12" t="s">
        <v>391</v>
      </c>
      <c r="I57" s="12" t="s">
        <v>392</v>
      </c>
      <c r="J57" s="16" t="s">
        <v>15</v>
      </c>
      <c r="K57" s="12" t="s">
        <v>393</v>
      </c>
      <c r="L57" s="12" t="s">
        <v>394</v>
      </c>
    </row>
    <row r="58" customFormat="false" ht="90.25" hidden="false" customHeight="false" outlineLevel="0" collapsed="false">
      <c r="A58" s="12" t="n">
        <v>57</v>
      </c>
      <c r="B58" s="12" t="s">
        <v>386</v>
      </c>
      <c r="C58" s="12" t="s">
        <v>395</v>
      </c>
      <c r="D58" s="12" t="s">
        <v>396</v>
      </c>
      <c r="E58" s="12" t="n">
        <v>1</v>
      </c>
      <c r="F58" s="12" t="s">
        <v>397</v>
      </c>
      <c r="G58" s="12" t="s">
        <v>99</v>
      </c>
      <c r="H58" s="12" t="s">
        <v>398</v>
      </c>
      <c r="I58" s="12" t="s">
        <v>399</v>
      </c>
      <c r="J58" s="16" t="s">
        <v>15</v>
      </c>
      <c r="K58" s="12" t="s">
        <v>400</v>
      </c>
      <c r="L58" s="12"/>
    </row>
    <row r="59" customFormat="false" ht="39.55" hidden="false" customHeight="false" outlineLevel="0" collapsed="false">
      <c r="A59" s="12" t="n">
        <v>58</v>
      </c>
      <c r="B59" s="12" t="s">
        <v>401</v>
      </c>
      <c r="C59" s="12" t="s">
        <v>402</v>
      </c>
      <c r="D59" s="12" t="s">
        <v>403</v>
      </c>
      <c r="E59" s="12" t="n">
        <v>1</v>
      </c>
      <c r="F59" s="12" t="s">
        <v>404</v>
      </c>
      <c r="G59" s="12" t="s">
        <v>99</v>
      </c>
      <c r="H59" s="12" t="s">
        <v>405</v>
      </c>
      <c r="I59" s="12" t="s">
        <v>406</v>
      </c>
      <c r="J59" s="15" t="s">
        <v>13</v>
      </c>
      <c r="K59" s="12" t="s">
        <v>407</v>
      </c>
      <c r="L59" s="12" t="s">
        <v>408</v>
      </c>
    </row>
    <row r="60" customFormat="false" ht="90.25" hidden="false" customHeight="false" outlineLevel="0" collapsed="false">
      <c r="A60" s="12" t="n">
        <v>59</v>
      </c>
      <c r="B60" s="12" t="s">
        <v>409</v>
      </c>
      <c r="C60" s="12" t="s">
        <v>410</v>
      </c>
      <c r="D60" s="12" t="s">
        <v>411</v>
      </c>
      <c r="E60" s="12" t="n">
        <v>1</v>
      </c>
      <c r="F60" s="12" t="s">
        <v>412</v>
      </c>
      <c r="G60" s="12" t="s">
        <v>413</v>
      </c>
      <c r="H60" s="12" t="s">
        <v>414</v>
      </c>
      <c r="I60" s="12" t="s">
        <v>65</v>
      </c>
      <c r="J60" s="15" t="s">
        <v>13</v>
      </c>
      <c r="K60" s="12" t="s">
        <v>285</v>
      </c>
      <c r="L60" s="12"/>
    </row>
    <row r="61" customFormat="false" ht="26.85" hidden="false" customHeight="false" outlineLevel="0" collapsed="false">
      <c r="A61" s="12" t="n">
        <v>60</v>
      </c>
      <c r="B61" s="12" t="s">
        <v>17</v>
      </c>
      <c r="C61" s="12" t="s">
        <v>415</v>
      </c>
      <c r="D61" s="12" t="s">
        <v>415</v>
      </c>
      <c r="E61" s="12" t="n">
        <v>68</v>
      </c>
      <c r="F61" s="12" t="s">
        <v>262</v>
      </c>
      <c r="G61" s="12" t="s">
        <v>383</v>
      </c>
      <c r="H61" s="12" t="s">
        <v>416</v>
      </c>
      <c r="I61" s="12" t="s">
        <v>216</v>
      </c>
      <c r="J61" s="17" t="s">
        <v>17</v>
      </c>
      <c r="K61" s="12" t="s">
        <v>217</v>
      </c>
      <c r="L61" s="12"/>
    </row>
    <row r="62" customFormat="false" ht="115.65" hidden="false" customHeight="false" outlineLevel="0" collapsed="false">
      <c r="A62" s="12" t="n">
        <v>61</v>
      </c>
      <c r="B62" s="12" t="s">
        <v>417</v>
      </c>
      <c r="C62" s="12" t="s">
        <v>418</v>
      </c>
      <c r="D62" s="12" t="s">
        <v>419</v>
      </c>
      <c r="E62" s="12" t="n">
        <v>1</v>
      </c>
      <c r="F62" s="12" t="s">
        <v>420</v>
      </c>
      <c r="G62" s="12" t="s">
        <v>421</v>
      </c>
      <c r="H62" s="12" t="s">
        <v>422</v>
      </c>
      <c r="I62" s="12" t="s">
        <v>423</v>
      </c>
      <c r="J62" s="13" t="s">
        <v>9</v>
      </c>
      <c r="K62" s="12" t="s">
        <v>424</v>
      </c>
      <c r="L62" s="12" t="s">
        <v>425</v>
      </c>
    </row>
    <row r="63" customFormat="false" ht="39.55" hidden="false" customHeight="false" outlineLevel="0" collapsed="false">
      <c r="A63" s="12" t="n">
        <v>62</v>
      </c>
      <c r="B63" s="12" t="s">
        <v>417</v>
      </c>
      <c r="C63" s="12" t="s">
        <v>426</v>
      </c>
      <c r="D63" s="12" t="s">
        <v>427</v>
      </c>
      <c r="E63" s="12" t="n">
        <v>1</v>
      </c>
      <c r="F63" s="12" t="s">
        <v>428</v>
      </c>
      <c r="G63" s="12" t="s">
        <v>429</v>
      </c>
      <c r="H63" s="12" t="s">
        <v>430</v>
      </c>
      <c r="I63" s="12" t="s">
        <v>423</v>
      </c>
      <c r="J63" s="13" t="s">
        <v>9</v>
      </c>
      <c r="K63" s="12" t="s">
        <v>424</v>
      </c>
      <c r="L63" s="12" t="s">
        <v>431</v>
      </c>
    </row>
    <row r="64" customFormat="false" ht="115.65" hidden="false" customHeight="false" outlineLevel="0" collapsed="false">
      <c r="A64" s="12" t="n">
        <v>63</v>
      </c>
      <c r="B64" s="12" t="s">
        <v>417</v>
      </c>
      <c r="C64" s="12" t="s">
        <v>432</v>
      </c>
      <c r="D64" s="12" t="s">
        <v>433</v>
      </c>
      <c r="E64" s="12" t="n">
        <v>1</v>
      </c>
      <c r="F64" s="12" t="s">
        <v>420</v>
      </c>
      <c r="G64" s="12" t="s">
        <v>421</v>
      </c>
      <c r="H64" s="12" t="s">
        <v>434</v>
      </c>
      <c r="I64" s="12" t="s">
        <v>435</v>
      </c>
      <c r="J64" s="13" t="s">
        <v>9</v>
      </c>
      <c r="K64" s="12" t="s">
        <v>436</v>
      </c>
      <c r="L64" s="12" t="s">
        <v>437</v>
      </c>
    </row>
    <row r="65" customFormat="false" ht="39.55" hidden="false" customHeight="false" outlineLevel="0" collapsed="false">
      <c r="A65" s="12" t="n">
        <v>64</v>
      </c>
      <c r="B65" s="12" t="s">
        <v>417</v>
      </c>
      <c r="C65" s="12" t="s">
        <v>438</v>
      </c>
      <c r="D65" s="12" t="s">
        <v>439</v>
      </c>
      <c r="E65" s="12" t="n">
        <v>1</v>
      </c>
      <c r="F65" s="12" t="s">
        <v>428</v>
      </c>
      <c r="G65" s="12" t="s">
        <v>429</v>
      </c>
      <c r="H65" s="12" t="s">
        <v>440</v>
      </c>
      <c r="I65" s="12" t="s">
        <v>435</v>
      </c>
      <c r="J65" s="13" t="s">
        <v>9</v>
      </c>
      <c r="K65" s="12" t="s">
        <v>436</v>
      </c>
      <c r="L65" s="12" t="s">
        <v>441</v>
      </c>
    </row>
    <row r="66" customFormat="false" ht="52.2" hidden="false" customHeight="false" outlineLevel="0" collapsed="false">
      <c r="A66" s="12" t="n">
        <v>65</v>
      </c>
      <c r="B66" s="12" t="s">
        <v>417</v>
      </c>
      <c r="C66" s="12" t="s">
        <v>442</v>
      </c>
      <c r="D66" s="12" t="s">
        <v>443</v>
      </c>
      <c r="E66" s="12" t="n">
        <v>16</v>
      </c>
      <c r="F66" s="12" t="s">
        <v>444</v>
      </c>
      <c r="G66" s="12" t="s">
        <v>445</v>
      </c>
      <c r="H66" s="12" t="s">
        <v>446</v>
      </c>
      <c r="I66" s="12" t="s">
        <v>447</v>
      </c>
      <c r="J66" s="13" t="s">
        <v>9</v>
      </c>
      <c r="K66" s="12" t="s">
        <v>448</v>
      </c>
      <c r="L66" s="12" t="s">
        <v>449</v>
      </c>
    </row>
    <row r="67" customFormat="false" ht="26.85" hidden="false" customHeight="false" outlineLevel="0" collapsed="false">
      <c r="A67" s="12" t="n">
        <v>66</v>
      </c>
      <c r="B67" s="12" t="s">
        <v>417</v>
      </c>
      <c r="C67" s="12" t="s">
        <v>450</v>
      </c>
      <c r="D67" s="12" t="s">
        <v>451</v>
      </c>
      <c r="E67" s="12" t="n">
        <v>30</v>
      </c>
      <c r="F67" s="12" t="s">
        <v>452</v>
      </c>
      <c r="G67" s="12" t="s">
        <v>208</v>
      </c>
      <c r="H67" s="12" t="s">
        <v>453</v>
      </c>
      <c r="I67" s="12" t="s">
        <v>454</v>
      </c>
      <c r="J67" s="15" t="s">
        <v>13</v>
      </c>
      <c r="K67" s="12" t="s">
        <v>264</v>
      </c>
      <c r="L67" s="12" t="s">
        <v>455</v>
      </c>
    </row>
    <row r="68" customFormat="false" ht="26.85" hidden="false" customHeight="false" outlineLevel="0" collapsed="false">
      <c r="A68" s="12" t="n">
        <v>67</v>
      </c>
      <c r="B68" s="12" t="s">
        <v>417</v>
      </c>
      <c r="C68" s="12" t="s">
        <v>456</v>
      </c>
      <c r="D68" s="12" t="s">
        <v>457</v>
      </c>
      <c r="E68" s="12" t="n">
        <v>1</v>
      </c>
      <c r="F68" s="12" t="s">
        <v>98</v>
      </c>
      <c r="G68" s="12" t="s">
        <v>117</v>
      </c>
      <c r="H68" s="12" t="s">
        <v>458</v>
      </c>
      <c r="I68" s="12" t="s">
        <v>459</v>
      </c>
      <c r="J68" s="15" t="s">
        <v>13</v>
      </c>
      <c r="K68" s="12" t="s">
        <v>285</v>
      </c>
      <c r="L68" s="12"/>
    </row>
    <row r="69" customFormat="false" ht="39.55" hidden="false" customHeight="false" outlineLevel="0" collapsed="false">
      <c r="A69" s="12" t="n">
        <v>68</v>
      </c>
      <c r="B69" s="12" t="s">
        <v>17</v>
      </c>
      <c r="C69" s="12" t="s">
        <v>460</v>
      </c>
      <c r="D69" s="12" t="s">
        <v>461</v>
      </c>
      <c r="E69" s="12" t="n">
        <v>63</v>
      </c>
      <c r="F69" s="12" t="s">
        <v>262</v>
      </c>
      <c r="G69" s="12" t="s">
        <v>462</v>
      </c>
      <c r="H69" s="12" t="s">
        <v>463</v>
      </c>
      <c r="I69" s="12" t="s">
        <v>464</v>
      </c>
      <c r="J69" s="17" t="s">
        <v>17</v>
      </c>
      <c r="K69" s="12" t="s">
        <v>465</v>
      </c>
      <c r="L69" s="12" t="s">
        <v>466</v>
      </c>
    </row>
    <row r="70" customFormat="false" ht="26.85" hidden="false" customHeight="false" outlineLevel="0" collapsed="false">
      <c r="A70" s="12" t="n">
        <v>69</v>
      </c>
      <c r="B70" s="12" t="s">
        <v>417</v>
      </c>
      <c r="C70" s="12" t="s">
        <v>467</v>
      </c>
      <c r="D70" s="12" t="s">
        <v>468</v>
      </c>
      <c r="E70" s="12" t="n">
        <v>1</v>
      </c>
      <c r="F70" s="12" t="s">
        <v>469</v>
      </c>
      <c r="G70" s="12" t="s">
        <v>470</v>
      </c>
      <c r="H70" s="12" t="s">
        <v>471</v>
      </c>
      <c r="I70" s="12" t="s">
        <v>65</v>
      </c>
      <c r="J70" s="15" t="s">
        <v>13</v>
      </c>
      <c r="K70" s="12" t="s">
        <v>351</v>
      </c>
      <c r="L70" s="12"/>
    </row>
    <row r="71" customFormat="false" ht="26.85" hidden="false" customHeight="false" outlineLevel="0" collapsed="false">
      <c r="A71" s="12" t="n">
        <v>70</v>
      </c>
      <c r="B71" s="12" t="s">
        <v>472</v>
      </c>
      <c r="C71" s="12" t="s">
        <v>473</v>
      </c>
      <c r="D71" s="12" t="s">
        <v>474</v>
      </c>
      <c r="E71" s="12" t="n">
        <v>1</v>
      </c>
      <c r="F71" s="12" t="s">
        <v>262</v>
      </c>
      <c r="G71" s="12" t="s">
        <v>125</v>
      </c>
      <c r="H71" s="12" t="s">
        <v>475</v>
      </c>
      <c r="I71" s="12" t="s">
        <v>476</v>
      </c>
      <c r="J71" s="15" t="s">
        <v>13</v>
      </c>
      <c r="K71" s="12" t="s">
        <v>477</v>
      </c>
      <c r="L71" s="12" t="s">
        <v>478</v>
      </c>
    </row>
    <row r="72" customFormat="false" ht="26.85" hidden="false" customHeight="false" outlineLevel="0" collapsed="false">
      <c r="A72" s="12" t="n">
        <v>71</v>
      </c>
      <c r="B72" s="12" t="s">
        <v>479</v>
      </c>
      <c r="C72" s="12" t="s">
        <v>480</v>
      </c>
      <c r="D72" s="12" t="s">
        <v>481</v>
      </c>
      <c r="E72" s="12" t="n">
        <v>1</v>
      </c>
      <c r="F72" s="12" t="s">
        <v>233</v>
      </c>
      <c r="G72" s="12" t="s">
        <v>117</v>
      </c>
      <c r="H72" s="12" t="s">
        <v>482</v>
      </c>
      <c r="I72" s="12" t="s">
        <v>476</v>
      </c>
      <c r="J72" s="15" t="s">
        <v>13</v>
      </c>
      <c r="K72" s="12" t="s">
        <v>483</v>
      </c>
      <c r="L72" s="12" t="s">
        <v>484</v>
      </c>
    </row>
    <row r="73" customFormat="false" ht="26.85" hidden="false" customHeight="false" outlineLevel="0" collapsed="false">
      <c r="A73" s="12" t="n">
        <v>72</v>
      </c>
      <c r="B73" s="12" t="s">
        <v>417</v>
      </c>
      <c r="C73" s="12" t="s">
        <v>485</v>
      </c>
      <c r="D73" s="12" t="s">
        <v>486</v>
      </c>
      <c r="E73" s="12" t="n">
        <v>1</v>
      </c>
      <c r="F73" s="12" t="s">
        <v>487</v>
      </c>
      <c r="G73" s="12" t="s">
        <v>488</v>
      </c>
      <c r="H73" s="12" t="s">
        <v>489</v>
      </c>
      <c r="I73" s="12" t="s">
        <v>490</v>
      </c>
      <c r="J73" s="13" t="s">
        <v>9</v>
      </c>
      <c r="K73" s="12" t="s">
        <v>264</v>
      </c>
      <c r="L73" s="12" t="s">
        <v>491</v>
      </c>
    </row>
    <row r="74" customFormat="false" ht="26.85" hidden="false" customHeight="false" outlineLevel="0" collapsed="false">
      <c r="A74" s="12" t="n">
        <v>73</v>
      </c>
      <c r="B74" s="12" t="s">
        <v>17</v>
      </c>
      <c r="C74" s="12" t="s">
        <v>492</v>
      </c>
      <c r="D74" s="12" t="s">
        <v>492</v>
      </c>
      <c r="E74" s="12" t="n">
        <v>40</v>
      </c>
      <c r="F74" s="12" t="s">
        <v>493</v>
      </c>
      <c r="G74" s="12" t="s">
        <v>274</v>
      </c>
      <c r="H74" s="12" t="s">
        <v>494</v>
      </c>
      <c r="I74" s="12" t="s">
        <v>216</v>
      </c>
      <c r="J74" s="17" t="s">
        <v>17</v>
      </c>
      <c r="K74" s="12" t="s">
        <v>495</v>
      </c>
      <c r="L74" s="12" t="s">
        <v>496</v>
      </c>
    </row>
    <row r="75" customFormat="false" ht="15" hidden="false" customHeight="false" outlineLevel="0" collapsed="false">
      <c r="A75" s="12" t="n">
        <v>74</v>
      </c>
      <c r="B75" s="12" t="s">
        <v>17</v>
      </c>
      <c r="C75" s="12" t="s">
        <v>497</v>
      </c>
      <c r="D75" s="12" t="s">
        <v>497</v>
      </c>
      <c r="E75" s="12" t="n">
        <v>68</v>
      </c>
      <c r="F75" s="12" t="s">
        <v>262</v>
      </c>
      <c r="G75" s="12" t="s">
        <v>70</v>
      </c>
      <c r="H75" s="12" t="s">
        <v>498</v>
      </c>
      <c r="I75" s="12" t="s">
        <v>216</v>
      </c>
      <c r="J75" s="17" t="s">
        <v>17</v>
      </c>
      <c r="K75" s="12" t="s">
        <v>217</v>
      </c>
      <c r="L75" s="12"/>
    </row>
    <row r="76" customFormat="false" ht="26.85" hidden="false" customHeight="false" outlineLevel="0" collapsed="false">
      <c r="A76" s="12" t="n">
        <v>75</v>
      </c>
      <c r="B76" s="12" t="s">
        <v>17</v>
      </c>
      <c r="C76" s="12" t="s">
        <v>499</v>
      </c>
      <c r="D76" s="12" t="s">
        <v>499</v>
      </c>
      <c r="E76" s="12" t="n">
        <v>68</v>
      </c>
      <c r="F76" s="12" t="s">
        <v>262</v>
      </c>
      <c r="G76" s="12" t="s">
        <v>383</v>
      </c>
      <c r="H76" s="12" t="s">
        <v>500</v>
      </c>
      <c r="I76" s="12" t="s">
        <v>216</v>
      </c>
      <c r="J76" s="17" t="s">
        <v>17</v>
      </c>
      <c r="K76" s="12" t="s">
        <v>217</v>
      </c>
      <c r="L76" s="12"/>
    </row>
    <row r="77" customFormat="false" ht="26.85" hidden="false" customHeight="false" outlineLevel="0" collapsed="false">
      <c r="A77" s="12" t="n">
        <v>76</v>
      </c>
      <c r="B77" s="12" t="s">
        <v>17</v>
      </c>
      <c r="C77" s="12" t="s">
        <v>501</v>
      </c>
      <c r="D77" s="12" t="s">
        <v>501</v>
      </c>
      <c r="E77" s="12" t="n">
        <v>68</v>
      </c>
      <c r="F77" s="12" t="s">
        <v>262</v>
      </c>
      <c r="G77" s="12" t="s">
        <v>70</v>
      </c>
      <c r="H77" s="12" t="s">
        <v>502</v>
      </c>
      <c r="I77" s="12" t="s">
        <v>216</v>
      </c>
      <c r="J77" s="17" t="s">
        <v>17</v>
      </c>
      <c r="K77" s="12" t="s">
        <v>217</v>
      </c>
      <c r="L77" s="12"/>
    </row>
    <row r="78" customFormat="false" ht="15" hidden="false" customHeight="false" outlineLevel="0" collapsed="false">
      <c r="A78" s="12" t="n">
        <v>77</v>
      </c>
      <c r="B78" s="12" t="s">
        <v>19</v>
      </c>
      <c r="C78" s="12" t="s">
        <v>503</v>
      </c>
      <c r="D78" s="12" t="s">
        <v>503</v>
      </c>
      <c r="E78" s="12" t="n">
        <v>45</v>
      </c>
      <c r="F78" s="12" t="s">
        <v>233</v>
      </c>
      <c r="G78" s="12" t="s">
        <v>221</v>
      </c>
      <c r="H78" s="12" t="s">
        <v>504</v>
      </c>
      <c r="I78" s="12" t="s">
        <v>505</v>
      </c>
      <c r="J78" s="18" t="s">
        <v>19</v>
      </c>
      <c r="K78" s="12" t="s">
        <v>217</v>
      </c>
      <c r="L78" s="12"/>
    </row>
    <row r="79" customFormat="false" ht="26.85" hidden="false" customHeight="false" outlineLevel="0" collapsed="false">
      <c r="A79" s="12" t="n">
        <v>78</v>
      </c>
      <c r="B79" s="12" t="s">
        <v>417</v>
      </c>
      <c r="C79" s="12" t="s">
        <v>506</v>
      </c>
      <c r="D79" s="12" t="s">
        <v>507</v>
      </c>
      <c r="E79" s="12" t="n">
        <v>75</v>
      </c>
      <c r="F79" s="12" t="s">
        <v>262</v>
      </c>
      <c r="G79" s="12" t="s">
        <v>144</v>
      </c>
      <c r="H79" s="12" t="s">
        <v>508</v>
      </c>
      <c r="I79" s="12" t="s">
        <v>79</v>
      </c>
      <c r="J79" s="15" t="s">
        <v>13</v>
      </c>
      <c r="K79" s="12" t="s">
        <v>477</v>
      </c>
      <c r="L79" s="12" t="s">
        <v>509</v>
      </c>
    </row>
    <row r="80" customFormat="false" ht="26.85" hidden="false" customHeight="false" outlineLevel="0" collapsed="false">
      <c r="A80" s="12" t="n">
        <v>79</v>
      </c>
      <c r="B80" s="12" t="s">
        <v>510</v>
      </c>
      <c r="C80" s="12" t="s">
        <v>511</v>
      </c>
      <c r="D80" s="12" t="s">
        <v>512</v>
      </c>
      <c r="E80" s="12" t="n">
        <v>45</v>
      </c>
      <c r="F80" s="12" t="s">
        <v>233</v>
      </c>
      <c r="G80" s="12" t="s">
        <v>70</v>
      </c>
      <c r="H80" s="12" t="s">
        <v>513</v>
      </c>
      <c r="I80" s="12" t="s">
        <v>161</v>
      </c>
      <c r="J80" s="16" t="s">
        <v>15</v>
      </c>
      <c r="K80" s="12" t="s">
        <v>514</v>
      </c>
      <c r="L80" s="12"/>
    </row>
    <row r="81" customFormat="false" ht="39.55" hidden="false" customHeight="false" outlineLevel="0" collapsed="false">
      <c r="A81" s="12" t="n">
        <v>80</v>
      </c>
      <c r="B81" s="12" t="s">
        <v>510</v>
      </c>
      <c r="C81" s="12" t="s">
        <v>515</v>
      </c>
      <c r="D81" s="12" t="s">
        <v>516</v>
      </c>
      <c r="E81" s="12" t="n">
        <v>1</v>
      </c>
      <c r="F81" s="12" t="s">
        <v>517</v>
      </c>
      <c r="G81" s="12" t="s">
        <v>518</v>
      </c>
      <c r="H81" s="12" t="s">
        <v>519</v>
      </c>
      <c r="I81" s="12" t="s">
        <v>161</v>
      </c>
      <c r="J81" s="16" t="s">
        <v>15</v>
      </c>
      <c r="K81" s="12" t="s">
        <v>407</v>
      </c>
      <c r="L81" s="12"/>
    </row>
    <row r="82" customFormat="false" ht="39.55" hidden="false" customHeight="false" outlineLevel="0" collapsed="false">
      <c r="A82" s="12" t="n">
        <v>81</v>
      </c>
      <c r="B82" s="12" t="s">
        <v>510</v>
      </c>
      <c r="C82" s="12" t="s">
        <v>520</v>
      </c>
      <c r="D82" s="12" t="s">
        <v>521</v>
      </c>
      <c r="E82" s="12" t="n">
        <v>34</v>
      </c>
      <c r="F82" s="12" t="s">
        <v>522</v>
      </c>
      <c r="G82" s="12" t="s">
        <v>523</v>
      </c>
      <c r="H82" s="12" t="s">
        <v>524</v>
      </c>
      <c r="I82" s="12" t="s">
        <v>161</v>
      </c>
      <c r="J82" s="16" t="s">
        <v>15</v>
      </c>
      <c r="K82" s="12" t="s">
        <v>326</v>
      </c>
      <c r="L82" s="12"/>
    </row>
    <row r="83" customFormat="false" ht="26.85" hidden="false" customHeight="false" outlineLevel="0" collapsed="false">
      <c r="A83" s="12" t="n">
        <v>82</v>
      </c>
      <c r="B83" s="12" t="s">
        <v>510</v>
      </c>
      <c r="C83" s="12" t="s">
        <v>525</v>
      </c>
      <c r="D83" s="12" t="s">
        <v>526</v>
      </c>
      <c r="E83" s="12" t="n">
        <v>1</v>
      </c>
      <c r="F83" s="12" t="s">
        <v>527</v>
      </c>
      <c r="G83" s="12" t="s">
        <v>528</v>
      </c>
      <c r="H83" s="12" t="s">
        <v>529</v>
      </c>
      <c r="I83" s="12" t="s">
        <v>530</v>
      </c>
      <c r="J83" s="14" t="s">
        <v>11</v>
      </c>
      <c r="K83" s="12" t="s">
        <v>531</v>
      </c>
      <c r="L83" s="12" t="s">
        <v>532</v>
      </c>
    </row>
    <row r="84" customFormat="false" ht="77.6" hidden="false" customHeight="false" outlineLevel="0" collapsed="false">
      <c r="A84" s="12" t="n">
        <v>83</v>
      </c>
      <c r="B84" s="12" t="s">
        <v>510</v>
      </c>
      <c r="C84" s="12" t="s">
        <v>533</v>
      </c>
      <c r="D84" s="12" t="s">
        <v>534</v>
      </c>
      <c r="E84" s="12" t="n">
        <v>1</v>
      </c>
      <c r="F84" s="12" t="s">
        <v>535</v>
      </c>
      <c r="G84" s="12" t="s">
        <v>488</v>
      </c>
      <c r="H84" s="12" t="s">
        <v>536</v>
      </c>
      <c r="I84" s="12" t="s">
        <v>530</v>
      </c>
      <c r="J84" s="16" t="s">
        <v>15</v>
      </c>
      <c r="K84" s="12" t="s">
        <v>120</v>
      </c>
      <c r="L84" s="12"/>
    </row>
    <row r="85" customFormat="false" ht="39.55" hidden="false" customHeight="false" outlineLevel="0" collapsed="false">
      <c r="A85" s="12" t="n">
        <v>84</v>
      </c>
      <c r="B85" s="12" t="s">
        <v>510</v>
      </c>
      <c r="C85" s="12" t="s">
        <v>537</v>
      </c>
      <c r="D85" s="12" t="s">
        <v>538</v>
      </c>
      <c r="E85" s="12" t="n">
        <v>1</v>
      </c>
      <c r="F85" s="12" t="s">
        <v>539</v>
      </c>
      <c r="G85" s="12" t="s">
        <v>540</v>
      </c>
      <c r="H85" s="12" t="s">
        <v>541</v>
      </c>
      <c r="I85" s="12" t="s">
        <v>542</v>
      </c>
      <c r="J85" s="16" t="s">
        <v>15</v>
      </c>
      <c r="K85" s="12" t="s">
        <v>285</v>
      </c>
      <c r="L85" s="12" t="s">
        <v>543</v>
      </c>
    </row>
    <row r="86" customFormat="false" ht="115.65" hidden="false" customHeight="false" outlineLevel="0" collapsed="false">
      <c r="A86" s="12" t="n">
        <v>85</v>
      </c>
      <c r="B86" s="12" t="s">
        <v>544</v>
      </c>
      <c r="C86" s="12" t="s">
        <v>545</v>
      </c>
      <c r="D86" s="12" t="s">
        <v>546</v>
      </c>
      <c r="E86" s="12" t="n">
        <v>1</v>
      </c>
      <c r="F86" s="12" t="s">
        <v>420</v>
      </c>
      <c r="G86" s="12" t="s">
        <v>429</v>
      </c>
      <c r="H86" s="12" t="s">
        <v>547</v>
      </c>
      <c r="I86" s="12" t="s">
        <v>548</v>
      </c>
      <c r="J86" s="13" t="s">
        <v>9</v>
      </c>
      <c r="K86" s="12" t="s">
        <v>549</v>
      </c>
      <c r="L86" s="12" t="s">
        <v>550</v>
      </c>
    </row>
    <row r="87" customFormat="false" ht="115.65" hidden="false" customHeight="false" outlineLevel="0" collapsed="false">
      <c r="A87" s="12" t="n">
        <v>86</v>
      </c>
      <c r="B87" s="12" t="s">
        <v>544</v>
      </c>
      <c r="C87" s="12" t="s">
        <v>551</v>
      </c>
      <c r="D87" s="12" t="s">
        <v>552</v>
      </c>
      <c r="E87" s="12" t="n">
        <v>1</v>
      </c>
      <c r="F87" s="12" t="s">
        <v>553</v>
      </c>
      <c r="G87" s="12" t="s">
        <v>554</v>
      </c>
      <c r="H87" s="12" t="s">
        <v>555</v>
      </c>
      <c r="I87" s="12" t="s">
        <v>556</v>
      </c>
      <c r="J87" s="13" t="s">
        <v>9</v>
      </c>
      <c r="K87" s="12" t="s">
        <v>285</v>
      </c>
      <c r="L87" s="12" t="s">
        <v>557</v>
      </c>
    </row>
    <row r="88" customFormat="false" ht="52.2" hidden="false" customHeight="false" outlineLevel="0" collapsed="false">
      <c r="A88" s="12" t="n">
        <v>87</v>
      </c>
      <c r="B88" s="12" t="s">
        <v>544</v>
      </c>
      <c r="C88" s="12" t="s">
        <v>558</v>
      </c>
      <c r="D88" s="12" t="s">
        <v>559</v>
      </c>
      <c r="E88" s="12" t="n">
        <v>1</v>
      </c>
      <c r="F88" s="12" t="s">
        <v>560</v>
      </c>
      <c r="G88" s="12" t="s">
        <v>561</v>
      </c>
      <c r="H88" s="12" t="s">
        <v>562</v>
      </c>
      <c r="I88" s="12" t="s">
        <v>454</v>
      </c>
      <c r="J88" s="15" t="s">
        <v>13</v>
      </c>
      <c r="K88" s="12" t="s">
        <v>58</v>
      </c>
      <c r="L88" s="12" t="s">
        <v>563</v>
      </c>
    </row>
    <row r="89" customFormat="false" ht="26.85" hidden="false" customHeight="false" outlineLevel="0" collapsed="false">
      <c r="A89" s="12" t="n">
        <v>88</v>
      </c>
      <c r="B89" s="12" t="s">
        <v>544</v>
      </c>
      <c r="C89" s="12" t="s">
        <v>564</v>
      </c>
      <c r="D89" s="12" t="s">
        <v>565</v>
      </c>
      <c r="E89" s="12" t="n">
        <v>1</v>
      </c>
      <c r="F89" s="12" t="s">
        <v>566</v>
      </c>
      <c r="G89" s="12" t="s">
        <v>567</v>
      </c>
      <c r="H89" s="12" t="s">
        <v>568</v>
      </c>
      <c r="I89" s="12" t="s">
        <v>79</v>
      </c>
      <c r="J89" s="15" t="s">
        <v>13</v>
      </c>
      <c r="K89" s="12" t="s">
        <v>285</v>
      </c>
      <c r="L89" s="12"/>
    </row>
    <row r="90" customFormat="false" ht="26.85" hidden="false" customHeight="false" outlineLevel="0" collapsed="false">
      <c r="A90" s="12" t="n">
        <v>89</v>
      </c>
      <c r="B90" s="12" t="s">
        <v>544</v>
      </c>
      <c r="C90" s="12" t="s">
        <v>569</v>
      </c>
      <c r="D90" s="12" t="s">
        <v>570</v>
      </c>
      <c r="E90" s="12" t="n">
        <v>1</v>
      </c>
      <c r="F90" s="12" t="s">
        <v>571</v>
      </c>
      <c r="G90" s="12" t="s">
        <v>349</v>
      </c>
      <c r="H90" s="12" t="s">
        <v>572</v>
      </c>
      <c r="I90" s="12" t="s">
        <v>79</v>
      </c>
      <c r="J90" s="15" t="s">
        <v>13</v>
      </c>
      <c r="K90" s="12" t="s">
        <v>344</v>
      </c>
      <c r="L90" s="12" t="s">
        <v>573</v>
      </c>
    </row>
    <row r="91" customFormat="false" ht="77.6" hidden="false" customHeight="false" outlineLevel="0" collapsed="false">
      <c r="A91" s="12" t="n">
        <v>90</v>
      </c>
      <c r="B91" s="12" t="s">
        <v>574</v>
      </c>
      <c r="C91" s="12" t="s">
        <v>575</v>
      </c>
      <c r="D91" s="12" t="s">
        <v>576</v>
      </c>
      <c r="E91" s="12" t="n">
        <v>36</v>
      </c>
      <c r="F91" s="12" t="s">
        <v>577</v>
      </c>
      <c r="G91" s="12" t="s">
        <v>578</v>
      </c>
      <c r="H91" s="12" t="s">
        <v>579</v>
      </c>
      <c r="I91" s="12" t="s">
        <v>580</v>
      </c>
      <c r="J91" s="15" t="s">
        <v>13</v>
      </c>
      <c r="K91" s="12" t="s">
        <v>581</v>
      </c>
      <c r="L91" s="12" t="s">
        <v>582</v>
      </c>
    </row>
    <row r="92" customFormat="false" ht="26.85" hidden="false" customHeight="false" outlineLevel="0" collapsed="false">
      <c r="A92" s="12" t="n">
        <v>91</v>
      </c>
      <c r="B92" s="12" t="s">
        <v>574</v>
      </c>
      <c r="C92" s="12" t="s">
        <v>583</v>
      </c>
      <c r="D92" s="12" t="s">
        <v>583</v>
      </c>
      <c r="E92" s="12" t="n">
        <v>50</v>
      </c>
      <c r="F92" s="12" t="s">
        <v>262</v>
      </c>
      <c r="G92" s="12" t="s">
        <v>584</v>
      </c>
      <c r="H92" s="12" t="s">
        <v>585</v>
      </c>
      <c r="I92" s="12" t="s">
        <v>580</v>
      </c>
      <c r="J92" s="14" t="s">
        <v>11</v>
      </c>
      <c r="K92" s="12" t="s">
        <v>586</v>
      </c>
      <c r="L92" s="12" t="s">
        <v>587</v>
      </c>
    </row>
    <row r="93" customFormat="false" ht="39.55" hidden="false" customHeight="false" outlineLevel="0" collapsed="false">
      <c r="A93" s="12" t="n">
        <v>92</v>
      </c>
      <c r="B93" s="12" t="s">
        <v>588</v>
      </c>
      <c r="C93" s="12" t="s">
        <v>589</v>
      </c>
      <c r="D93" s="12" t="s">
        <v>590</v>
      </c>
      <c r="E93" s="12" t="n">
        <v>3</v>
      </c>
      <c r="F93" s="12" t="s">
        <v>591</v>
      </c>
      <c r="G93" s="12" t="s">
        <v>592</v>
      </c>
      <c r="H93" s="12" t="s">
        <v>593</v>
      </c>
      <c r="I93" s="12" t="s">
        <v>594</v>
      </c>
      <c r="J93" s="13" t="s">
        <v>9</v>
      </c>
      <c r="K93" s="12" t="s">
        <v>595</v>
      </c>
      <c r="L93" s="12" t="s">
        <v>596</v>
      </c>
    </row>
    <row r="94" customFormat="false" ht="26.85" hidden="false" customHeight="false" outlineLevel="0" collapsed="false">
      <c r="A94" s="12" t="n">
        <v>93</v>
      </c>
      <c r="B94" s="12" t="s">
        <v>588</v>
      </c>
      <c r="C94" s="12" t="s">
        <v>597</v>
      </c>
      <c r="D94" s="12" t="s">
        <v>598</v>
      </c>
      <c r="E94" s="12" t="n">
        <v>65</v>
      </c>
      <c r="F94" s="12" t="s">
        <v>599</v>
      </c>
      <c r="G94" s="12" t="s">
        <v>136</v>
      </c>
      <c r="H94" s="12" t="s">
        <v>600</v>
      </c>
      <c r="I94" s="12" t="s">
        <v>601</v>
      </c>
      <c r="J94" s="13" t="s">
        <v>9</v>
      </c>
      <c r="K94" s="12" t="s">
        <v>58</v>
      </c>
      <c r="L94" s="12" t="s">
        <v>602</v>
      </c>
    </row>
    <row r="95" customFormat="false" ht="39.55" hidden="false" customHeight="false" outlineLevel="0" collapsed="false">
      <c r="A95" s="12" t="n">
        <v>94</v>
      </c>
      <c r="B95" s="12" t="s">
        <v>588</v>
      </c>
      <c r="C95" s="12" t="s">
        <v>603</v>
      </c>
      <c r="D95" s="12" t="s">
        <v>604</v>
      </c>
      <c r="E95" s="12" t="n">
        <v>72</v>
      </c>
      <c r="F95" s="12" t="s">
        <v>295</v>
      </c>
      <c r="G95" s="12" t="s">
        <v>208</v>
      </c>
      <c r="H95" s="12" t="s">
        <v>605</v>
      </c>
      <c r="I95" s="12" t="s">
        <v>210</v>
      </c>
      <c r="J95" s="15" t="s">
        <v>13</v>
      </c>
      <c r="K95" s="12" t="s">
        <v>606</v>
      </c>
      <c r="L95" s="12"/>
    </row>
    <row r="96" customFormat="false" ht="15" hidden="false" customHeight="false" outlineLevel="0" collapsed="false">
      <c r="A96" s="12" t="n">
        <v>95</v>
      </c>
      <c r="B96" s="12" t="s">
        <v>588</v>
      </c>
      <c r="C96" s="12" t="s">
        <v>607</v>
      </c>
      <c r="D96" s="12" t="s">
        <v>608</v>
      </c>
      <c r="E96" s="12" t="n">
        <v>75</v>
      </c>
      <c r="F96" s="12" t="s">
        <v>151</v>
      </c>
      <c r="G96" s="12" t="s">
        <v>136</v>
      </c>
      <c r="H96" s="12" t="s">
        <v>609</v>
      </c>
      <c r="I96" s="12" t="s">
        <v>610</v>
      </c>
      <c r="J96" s="13" t="s">
        <v>9</v>
      </c>
      <c r="K96" s="12" t="s">
        <v>170</v>
      </c>
      <c r="L96" s="12" t="s">
        <v>611</v>
      </c>
    </row>
    <row r="97" customFormat="false" ht="64.9" hidden="false" customHeight="false" outlineLevel="0" collapsed="false">
      <c r="A97" s="12" t="n">
        <v>96</v>
      </c>
      <c r="B97" s="12" t="s">
        <v>243</v>
      </c>
      <c r="C97" s="12" t="s">
        <v>612</v>
      </c>
      <c r="D97" s="12" t="s">
        <v>613</v>
      </c>
      <c r="E97" s="12" t="n">
        <v>1</v>
      </c>
      <c r="F97" s="12" t="s">
        <v>614</v>
      </c>
      <c r="G97" s="12" t="s">
        <v>324</v>
      </c>
      <c r="H97" s="12" t="s">
        <v>615</v>
      </c>
      <c r="I97" s="12" t="s">
        <v>616</v>
      </c>
      <c r="J97" s="14" t="s">
        <v>11</v>
      </c>
      <c r="K97" s="12" t="s">
        <v>617</v>
      </c>
      <c r="L97" s="12" t="s">
        <v>618</v>
      </c>
    </row>
    <row r="98" customFormat="false" ht="15" hidden="false" customHeight="false" outlineLevel="0" collapsed="false">
      <c r="A98" s="12" t="n">
        <v>97</v>
      </c>
      <c r="B98" s="12" t="s">
        <v>19</v>
      </c>
      <c r="C98" s="12" t="s">
        <v>619</v>
      </c>
      <c r="D98" s="12" t="s">
        <v>620</v>
      </c>
      <c r="E98" s="12" t="n">
        <v>1</v>
      </c>
      <c r="F98" s="12" t="s">
        <v>621</v>
      </c>
      <c r="G98" s="12" t="s">
        <v>221</v>
      </c>
      <c r="H98" s="12" t="s">
        <v>622</v>
      </c>
      <c r="I98" s="12" t="s">
        <v>594</v>
      </c>
      <c r="J98" s="18" t="s">
        <v>19</v>
      </c>
      <c r="K98" s="12" t="s">
        <v>217</v>
      </c>
      <c r="L98" s="12"/>
    </row>
    <row r="99" customFormat="false" ht="26.85" hidden="false" customHeight="false" outlineLevel="0" collapsed="false">
      <c r="A99" s="12" t="n">
        <v>98</v>
      </c>
      <c r="B99" s="12" t="s">
        <v>588</v>
      </c>
      <c r="C99" s="12" t="s">
        <v>623</v>
      </c>
      <c r="D99" s="12" t="s">
        <v>623</v>
      </c>
      <c r="E99" s="12" t="n">
        <v>24</v>
      </c>
      <c r="F99" s="12" t="s">
        <v>295</v>
      </c>
      <c r="G99" s="12" t="s">
        <v>584</v>
      </c>
      <c r="H99" s="12" t="s">
        <v>624</v>
      </c>
      <c r="I99" s="12" t="s">
        <v>625</v>
      </c>
      <c r="J99" s="14" t="s">
        <v>11</v>
      </c>
      <c r="K99" s="12" t="s">
        <v>285</v>
      </c>
      <c r="L99" s="12" t="s">
        <v>626</v>
      </c>
    </row>
    <row r="100" customFormat="false" ht="26.85" hidden="false" customHeight="false" outlineLevel="0" collapsed="false">
      <c r="A100" s="12" t="n">
        <v>99</v>
      </c>
      <c r="B100" s="12" t="s">
        <v>627</v>
      </c>
      <c r="C100" s="12" t="s">
        <v>628</v>
      </c>
      <c r="D100" s="12" t="s">
        <v>628</v>
      </c>
      <c r="E100" s="12" t="n">
        <v>0</v>
      </c>
      <c r="F100" s="12" t="s">
        <v>629</v>
      </c>
      <c r="G100" s="12" t="s">
        <v>630</v>
      </c>
      <c r="H100" s="12" t="s">
        <v>631</v>
      </c>
      <c r="I100" s="12" t="s">
        <v>632</v>
      </c>
      <c r="J100" s="16" t="s">
        <v>15</v>
      </c>
      <c r="K100" s="12" t="s">
        <v>285</v>
      </c>
      <c r="L100" s="12" t="s">
        <v>633</v>
      </c>
    </row>
    <row r="101" customFormat="false" ht="26.85" hidden="false" customHeight="false" outlineLevel="0" collapsed="false">
      <c r="A101" s="12" t="n">
        <v>100</v>
      </c>
      <c r="B101" s="12" t="s">
        <v>627</v>
      </c>
      <c r="C101" s="12" t="s">
        <v>634</v>
      </c>
      <c r="D101" s="12" t="s">
        <v>635</v>
      </c>
      <c r="E101" s="12" t="n">
        <v>2</v>
      </c>
      <c r="F101" s="12" t="s">
        <v>636</v>
      </c>
      <c r="G101" s="12" t="s">
        <v>528</v>
      </c>
      <c r="H101" s="12" t="s">
        <v>637</v>
      </c>
      <c r="I101" s="12" t="s">
        <v>638</v>
      </c>
      <c r="J101" s="16" t="s">
        <v>15</v>
      </c>
      <c r="K101" s="12" t="s">
        <v>170</v>
      </c>
      <c r="L101" s="12" t="s">
        <v>639</v>
      </c>
    </row>
    <row r="102" customFormat="false" ht="90.25" hidden="false" customHeight="false" outlineLevel="0" collapsed="false">
      <c r="A102" s="12" t="n">
        <v>101</v>
      </c>
      <c r="B102" s="12" t="s">
        <v>640</v>
      </c>
      <c r="C102" s="12" t="s">
        <v>641</v>
      </c>
      <c r="D102" s="12" t="s">
        <v>641</v>
      </c>
      <c r="E102" s="12" t="n">
        <v>1</v>
      </c>
      <c r="F102" s="12" t="s">
        <v>642</v>
      </c>
      <c r="G102" s="12" t="s">
        <v>208</v>
      </c>
      <c r="H102" s="12" t="s">
        <v>643</v>
      </c>
      <c r="I102" s="12" t="s">
        <v>644</v>
      </c>
      <c r="J102" s="14" t="s">
        <v>11</v>
      </c>
      <c r="K102" s="12" t="s">
        <v>645</v>
      </c>
      <c r="L102" s="12" t="s">
        <v>646</v>
      </c>
    </row>
    <row r="103" customFormat="false" ht="90.25" hidden="false" customHeight="false" outlineLevel="0" collapsed="false">
      <c r="A103" s="12" t="n">
        <v>102</v>
      </c>
      <c r="B103" s="12" t="s">
        <v>640</v>
      </c>
      <c r="C103" s="12" t="s">
        <v>647</v>
      </c>
      <c r="D103" s="12" t="s">
        <v>648</v>
      </c>
      <c r="E103" s="12" t="n">
        <v>1</v>
      </c>
      <c r="F103" s="12" t="s">
        <v>642</v>
      </c>
      <c r="G103" s="12" t="s">
        <v>208</v>
      </c>
      <c r="H103" s="12" t="s">
        <v>649</v>
      </c>
      <c r="I103" s="12" t="s">
        <v>650</v>
      </c>
      <c r="J103" s="14" t="s">
        <v>11</v>
      </c>
      <c r="K103" s="12" t="s">
        <v>651</v>
      </c>
      <c r="L103" s="12" t="s">
        <v>652</v>
      </c>
    </row>
    <row r="104" customFormat="false" ht="26.85" hidden="false" customHeight="false" outlineLevel="0" collapsed="false">
      <c r="A104" s="12" t="n">
        <v>103</v>
      </c>
      <c r="B104" s="12" t="s">
        <v>17</v>
      </c>
      <c r="C104" s="12" t="s">
        <v>653</v>
      </c>
      <c r="D104" s="12" t="s">
        <v>653</v>
      </c>
      <c r="E104" s="12" t="n">
        <v>68</v>
      </c>
      <c r="F104" s="12" t="s">
        <v>636</v>
      </c>
      <c r="G104" s="12" t="s">
        <v>221</v>
      </c>
      <c r="H104" s="12" t="s">
        <v>654</v>
      </c>
      <c r="I104" s="12" t="s">
        <v>655</v>
      </c>
      <c r="J104" s="17" t="s">
        <v>17</v>
      </c>
      <c r="K104" s="12" t="s">
        <v>217</v>
      </c>
      <c r="L104" s="12" t="s">
        <v>656</v>
      </c>
    </row>
  </sheetData>
  <autoFilter ref="A1:L10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50"/>
    <col collapsed="false" customWidth="true" hidden="false" outlineLevel="0" max="3" min="3" style="0" width="60"/>
    <col collapsed="false" customWidth="true" hidden="false" outlineLevel="0" max="4" min="4" style="0" width="11"/>
    <col collapsed="false" customWidth="true" hidden="false" outlineLevel="0" max="5" min="5" style="0" width="50"/>
  </cols>
  <sheetData>
    <row r="1" customFormat="false" ht="15" hidden="false" customHeight="false" outlineLevel="0" collapsed="false">
      <c r="A1" s="11" t="s">
        <v>26</v>
      </c>
      <c r="B1" s="11" t="s">
        <v>657</v>
      </c>
      <c r="C1" s="11" t="s">
        <v>658</v>
      </c>
      <c r="D1" s="11" t="s">
        <v>5</v>
      </c>
      <c r="E1" s="11" t="s">
        <v>36</v>
      </c>
    </row>
    <row r="2" customFormat="false" ht="15" hidden="false" customHeight="false" outlineLevel="0" collapsed="false">
      <c r="A2" s="12" t="n">
        <v>1</v>
      </c>
      <c r="B2" s="12" t="s">
        <v>659</v>
      </c>
      <c r="C2" s="12" t="s">
        <v>660</v>
      </c>
      <c r="D2" s="13" t="s">
        <v>9</v>
      </c>
      <c r="E2" s="12" t="s">
        <v>661</v>
      </c>
    </row>
    <row r="3" customFormat="false" ht="15" hidden="false" customHeight="false" outlineLevel="0" collapsed="false">
      <c r="A3" s="12" t="n">
        <v>2</v>
      </c>
      <c r="B3" s="12" t="s">
        <v>662</v>
      </c>
      <c r="C3" s="12" t="s">
        <v>663</v>
      </c>
      <c r="D3" s="13" t="s">
        <v>9</v>
      </c>
      <c r="E3" s="12" t="s">
        <v>664</v>
      </c>
    </row>
    <row r="4" customFormat="false" ht="15" hidden="false" customHeight="false" outlineLevel="0" collapsed="false">
      <c r="A4" s="12" t="n">
        <v>3</v>
      </c>
      <c r="B4" s="12" t="s">
        <v>665</v>
      </c>
      <c r="C4" s="12" t="s">
        <v>666</v>
      </c>
      <c r="D4" s="13" t="s">
        <v>9</v>
      </c>
      <c r="E4" s="12" t="s">
        <v>667</v>
      </c>
    </row>
    <row r="5" customFormat="false" ht="15" hidden="false" customHeight="false" outlineLevel="0" collapsed="false">
      <c r="A5" s="12" t="n">
        <v>4</v>
      </c>
      <c r="B5" s="12" t="s">
        <v>668</v>
      </c>
      <c r="C5" s="12" t="s">
        <v>669</v>
      </c>
      <c r="D5" s="13" t="s">
        <v>9</v>
      </c>
      <c r="E5" s="12" t="s">
        <v>670</v>
      </c>
    </row>
    <row r="6" customFormat="false" ht="15" hidden="false" customHeight="false" outlineLevel="0" collapsed="false">
      <c r="A6" s="12" t="n">
        <v>5</v>
      </c>
      <c r="B6" s="12" t="s">
        <v>671</v>
      </c>
      <c r="C6" s="12" t="s">
        <v>672</v>
      </c>
      <c r="D6" s="13" t="s">
        <v>9</v>
      </c>
      <c r="E6" s="12" t="s">
        <v>673</v>
      </c>
    </row>
    <row r="7" customFormat="false" ht="15" hidden="false" customHeight="false" outlineLevel="0" collapsed="false">
      <c r="A7" s="12" t="n">
        <v>6</v>
      </c>
      <c r="B7" s="12" t="s">
        <v>674</v>
      </c>
      <c r="C7" s="12" t="s">
        <v>675</v>
      </c>
      <c r="D7" s="13" t="s">
        <v>9</v>
      </c>
      <c r="E7" s="12" t="s">
        <v>676</v>
      </c>
    </row>
    <row r="8" customFormat="false" ht="15" hidden="false" customHeight="false" outlineLevel="0" collapsed="false">
      <c r="A8" s="12" t="n">
        <v>7</v>
      </c>
      <c r="B8" s="12" t="s">
        <v>677</v>
      </c>
      <c r="C8" s="12" t="s">
        <v>678</v>
      </c>
      <c r="D8" s="13" t="s">
        <v>9</v>
      </c>
      <c r="E8" s="12" t="s">
        <v>679</v>
      </c>
    </row>
    <row r="9" customFormat="false" ht="15" hidden="false" customHeight="false" outlineLevel="0" collapsed="false">
      <c r="A9" s="12" t="n">
        <v>8</v>
      </c>
      <c r="B9" s="12" t="s">
        <v>680</v>
      </c>
      <c r="C9" s="12" t="s">
        <v>681</v>
      </c>
      <c r="D9" s="13" t="s">
        <v>9</v>
      </c>
      <c r="E9" s="12" t="s">
        <v>682</v>
      </c>
    </row>
    <row r="10" customFormat="false" ht="15" hidden="false" customHeight="false" outlineLevel="0" collapsed="false">
      <c r="A10" s="12" t="n">
        <v>9</v>
      </c>
      <c r="B10" s="12" t="s">
        <v>683</v>
      </c>
      <c r="C10" s="12" t="s">
        <v>684</v>
      </c>
      <c r="D10" s="13" t="s">
        <v>9</v>
      </c>
      <c r="E10" s="12" t="s">
        <v>685</v>
      </c>
    </row>
    <row r="11" customFormat="false" ht="15" hidden="false" customHeight="false" outlineLevel="0" collapsed="false">
      <c r="A11" s="12" t="n">
        <v>10</v>
      </c>
      <c r="B11" s="12" t="s">
        <v>686</v>
      </c>
      <c r="C11" s="12" t="s">
        <v>687</v>
      </c>
      <c r="D11" s="13" t="s">
        <v>9</v>
      </c>
      <c r="E11" s="12" t="s">
        <v>688</v>
      </c>
    </row>
    <row r="12" customFormat="false" ht="15" hidden="false" customHeight="false" outlineLevel="0" collapsed="false">
      <c r="A12" s="12" t="n">
        <v>11</v>
      </c>
      <c r="B12" s="12" t="s">
        <v>689</v>
      </c>
      <c r="C12" s="12" t="s">
        <v>690</v>
      </c>
      <c r="D12" s="15" t="s">
        <v>23</v>
      </c>
      <c r="E12" s="12" t="s">
        <v>691</v>
      </c>
    </row>
    <row r="13" customFormat="false" ht="26.85" hidden="false" customHeight="false" outlineLevel="0" collapsed="false">
      <c r="A13" s="12" t="n">
        <v>12</v>
      </c>
      <c r="B13" s="12" t="s">
        <v>692</v>
      </c>
      <c r="C13" s="12" t="s">
        <v>693</v>
      </c>
      <c r="D13" s="15" t="s">
        <v>23</v>
      </c>
      <c r="E13" s="12" t="s">
        <v>694</v>
      </c>
    </row>
    <row r="14" customFormat="false" ht="15" hidden="false" customHeight="false" outlineLevel="0" collapsed="false">
      <c r="A14" s="12" t="n">
        <v>13</v>
      </c>
      <c r="B14" s="12" t="s">
        <v>695</v>
      </c>
      <c r="C14" s="12" t="s">
        <v>696</v>
      </c>
      <c r="D14" s="15" t="s">
        <v>23</v>
      </c>
      <c r="E14" s="12"/>
    </row>
    <row r="15" customFormat="false" ht="26.85" hidden="false" customHeight="false" outlineLevel="0" collapsed="false">
      <c r="A15" s="12" t="n">
        <v>14</v>
      </c>
      <c r="B15" s="12" t="s">
        <v>697</v>
      </c>
      <c r="C15" s="12" t="s">
        <v>698</v>
      </c>
      <c r="D15" s="15" t="s">
        <v>23</v>
      </c>
      <c r="E15" s="12" t="s">
        <v>699</v>
      </c>
    </row>
    <row r="16" customFormat="false" ht="15" hidden="false" customHeight="false" outlineLevel="0" collapsed="false">
      <c r="A16" s="12" t="n">
        <v>15</v>
      </c>
      <c r="B16" s="12" t="s">
        <v>700</v>
      </c>
      <c r="C16" s="12" t="s">
        <v>701</v>
      </c>
      <c r="D16" s="15" t="s">
        <v>23</v>
      </c>
      <c r="E16" s="12"/>
    </row>
    <row r="17" customFormat="false" ht="15" hidden="false" customHeight="false" outlineLevel="0" collapsed="false">
      <c r="A17" s="12" t="n">
        <v>16</v>
      </c>
      <c r="B17" s="12" t="s">
        <v>702</v>
      </c>
      <c r="C17" s="12" t="s">
        <v>703</v>
      </c>
      <c r="D17" s="15" t="s">
        <v>23</v>
      </c>
      <c r="E17" s="12" t="s">
        <v>704</v>
      </c>
    </row>
    <row r="18" customFormat="false" ht="15" hidden="false" customHeight="false" outlineLevel="0" collapsed="false">
      <c r="A18" s="12" t="n">
        <v>17</v>
      </c>
      <c r="B18" s="12" t="s">
        <v>705</v>
      </c>
      <c r="C18" s="12" t="s">
        <v>706</v>
      </c>
      <c r="D18" s="15" t="s">
        <v>23</v>
      </c>
      <c r="E18" s="12"/>
    </row>
    <row r="19" customFormat="false" ht="26.85" hidden="false" customHeight="false" outlineLevel="0" collapsed="false">
      <c r="A19" s="12" t="n">
        <v>18</v>
      </c>
      <c r="B19" s="12" t="s">
        <v>707</v>
      </c>
      <c r="C19" s="12" t="s">
        <v>708</v>
      </c>
      <c r="D19" s="15" t="s">
        <v>23</v>
      </c>
      <c r="E19" s="12" t="s">
        <v>709</v>
      </c>
    </row>
    <row r="20" customFormat="false" ht="15" hidden="false" customHeight="false" outlineLevel="0" collapsed="false">
      <c r="A20" s="12" t="n">
        <v>19</v>
      </c>
      <c r="B20" s="12" t="s">
        <v>710</v>
      </c>
      <c r="C20" s="12" t="s">
        <v>711</v>
      </c>
      <c r="D20" s="15" t="s">
        <v>23</v>
      </c>
      <c r="E20" s="12"/>
    </row>
    <row r="21" customFormat="false" ht="15" hidden="false" customHeight="false" outlineLevel="0" collapsed="false">
      <c r="A21" s="12" t="n">
        <v>20</v>
      </c>
      <c r="B21" s="12" t="s">
        <v>712</v>
      </c>
      <c r="C21" s="12" t="s">
        <v>713</v>
      </c>
      <c r="D21" s="15" t="s">
        <v>23</v>
      </c>
      <c r="E21" s="12"/>
    </row>
    <row r="22" customFormat="false" ht="15" hidden="false" customHeight="false" outlineLevel="0" collapsed="false">
      <c r="A22" s="12" t="n">
        <v>21</v>
      </c>
      <c r="B22" s="12" t="s">
        <v>714</v>
      </c>
      <c r="C22" s="12" t="s">
        <v>715</v>
      </c>
      <c r="D22" s="15" t="s">
        <v>23</v>
      </c>
      <c r="E22" s="12"/>
    </row>
    <row r="23" customFormat="false" ht="15" hidden="false" customHeight="false" outlineLevel="0" collapsed="false">
      <c r="A23" s="12" t="n">
        <v>22</v>
      </c>
      <c r="B23" s="12" t="s">
        <v>716</v>
      </c>
      <c r="C23" s="12" t="s">
        <v>717</v>
      </c>
      <c r="D23" s="19" t="s">
        <v>21</v>
      </c>
      <c r="E23" s="12" t="s">
        <v>718</v>
      </c>
    </row>
    <row r="24" customFormat="false" ht="26.85" hidden="false" customHeight="false" outlineLevel="0" collapsed="false">
      <c r="A24" s="12" t="n">
        <v>23</v>
      </c>
      <c r="B24" s="12" t="s">
        <v>719</v>
      </c>
      <c r="C24" s="12" t="s">
        <v>720</v>
      </c>
      <c r="D24" s="19" t="s">
        <v>21</v>
      </c>
      <c r="E24" s="12" t="s">
        <v>721</v>
      </c>
    </row>
    <row r="25" customFormat="false" ht="15" hidden="false" customHeight="false" outlineLevel="0" collapsed="false">
      <c r="A25" s="12" t="n">
        <v>24</v>
      </c>
      <c r="B25" s="12" t="s">
        <v>722</v>
      </c>
      <c r="C25" s="12" t="s">
        <v>723</v>
      </c>
      <c r="D25" s="19" t="s">
        <v>21</v>
      </c>
      <c r="E25" s="12" t="s">
        <v>724</v>
      </c>
    </row>
    <row r="26" customFormat="false" ht="15" hidden="false" customHeight="false" outlineLevel="0" collapsed="false">
      <c r="A26" s="12" t="n">
        <v>25</v>
      </c>
      <c r="B26" s="12" t="s">
        <v>725</v>
      </c>
      <c r="C26" s="12" t="s">
        <v>726</v>
      </c>
      <c r="D26" s="15" t="s">
        <v>23</v>
      </c>
      <c r="E26" s="12" t="s">
        <v>727</v>
      </c>
    </row>
    <row r="27" customFormat="false" ht="15" hidden="false" customHeight="false" outlineLevel="0" collapsed="false">
      <c r="A27" s="12" t="n">
        <v>26</v>
      </c>
      <c r="B27" s="12" t="s">
        <v>728</v>
      </c>
      <c r="C27" s="12" t="s">
        <v>729</v>
      </c>
      <c r="D27" s="15" t="s">
        <v>23</v>
      </c>
      <c r="E27" s="12" t="s">
        <v>727</v>
      </c>
    </row>
    <row r="28" customFormat="false" ht="15" hidden="false" customHeight="false" outlineLevel="0" collapsed="false">
      <c r="A28" s="12" t="n">
        <v>27</v>
      </c>
      <c r="B28" s="12" t="s">
        <v>730</v>
      </c>
      <c r="C28" s="12" t="s">
        <v>731</v>
      </c>
      <c r="D28" s="19" t="s">
        <v>21</v>
      </c>
      <c r="E28" s="12" t="s">
        <v>732</v>
      </c>
    </row>
  </sheetData>
  <autoFilter ref="A1:E2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7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 collapsed="false" customWidth="true" hidden="false" outlineLevel="0" max="2" min="2" style="0" width="50"/>
    <col collapsed="false" customWidth="true" hidden="false" outlineLevel="0" max="3" min="3" style="0" width="9"/>
    <col collapsed="false" customWidth="true" hidden="false" outlineLevel="0" max="4" min="4" style="0" width="50"/>
    <col collapsed="false" customWidth="true" hidden="false" outlineLevel="0" max="5" min="5" style="0" width="30"/>
    <col collapsed="false" customWidth="true" hidden="false" outlineLevel="0" max="6" min="6" style="0" width="8"/>
  </cols>
  <sheetData>
    <row r="1" customFormat="false" ht="52.2" hidden="false" customHeight="false" outlineLevel="0" collapsed="false">
      <c r="A1" s="11" t="s">
        <v>28</v>
      </c>
      <c r="B1" s="11" t="s">
        <v>733</v>
      </c>
      <c r="C1" s="11" t="s">
        <v>30</v>
      </c>
      <c r="D1" s="11" t="s">
        <v>31</v>
      </c>
      <c r="E1" s="11" t="s">
        <v>32</v>
      </c>
      <c r="F1" s="11" t="s">
        <v>734</v>
      </c>
    </row>
    <row r="2" customFormat="false" ht="39.55" hidden="false" customHeight="false" outlineLevel="0" collapsed="false">
      <c r="A2" s="12" t="s">
        <v>735</v>
      </c>
      <c r="B2" s="12" t="s">
        <v>736</v>
      </c>
      <c r="C2" s="12" t="n">
        <v>1</v>
      </c>
      <c r="D2" s="12" t="s">
        <v>737</v>
      </c>
      <c r="E2" s="12" t="s">
        <v>221</v>
      </c>
      <c r="F2" s="12" t="str">
        <f aca="false">IF(COUNTIF('Item modifiers'!$C:$C,A2)&gt;0,"Yes","")</f>
        <v/>
      </c>
    </row>
    <row r="3" customFormat="false" ht="26.85" hidden="false" customHeight="false" outlineLevel="0" collapsed="false">
      <c r="A3" s="12" t="s">
        <v>738</v>
      </c>
      <c r="B3" s="12" t="s">
        <v>739</v>
      </c>
      <c r="C3" s="12" t="n">
        <v>1</v>
      </c>
      <c r="D3" s="12" t="s">
        <v>740</v>
      </c>
      <c r="E3" s="12" t="s">
        <v>221</v>
      </c>
      <c r="F3" s="12" t="str">
        <f aca="false">IF(COUNTIF('Item modifiers'!$C:$C,A3)&gt;0,"Yes","")</f>
        <v/>
      </c>
    </row>
    <row r="4" customFormat="false" ht="52.2" hidden="false" customHeight="false" outlineLevel="0" collapsed="false">
      <c r="A4" s="12" t="s">
        <v>741</v>
      </c>
      <c r="B4" s="12" t="s">
        <v>742</v>
      </c>
      <c r="C4" s="12" t="n">
        <v>1</v>
      </c>
      <c r="D4" s="12" t="s">
        <v>743</v>
      </c>
      <c r="E4" s="12" t="s">
        <v>221</v>
      </c>
      <c r="F4" s="12" t="str">
        <f aca="false">IF(COUNTIF('Item modifiers'!$C:$C,A4)&gt;0,"Yes","")</f>
        <v/>
      </c>
    </row>
    <row r="5" customFormat="false" ht="15" hidden="false" customHeight="false" outlineLevel="0" collapsed="false">
      <c r="A5" s="12" t="s">
        <v>744</v>
      </c>
      <c r="B5" s="12" t="s">
        <v>745</v>
      </c>
      <c r="C5" s="12" t="n">
        <v>56</v>
      </c>
      <c r="D5" s="12" t="s">
        <v>220</v>
      </c>
      <c r="E5" s="12" t="s">
        <v>136</v>
      </c>
      <c r="F5" s="12" t="str">
        <f aca="false">IF(COUNTIF('Item modifiers'!$C:$C,A5)&gt;0,"Yes","")</f>
        <v/>
      </c>
    </row>
    <row r="6" customFormat="false" ht="39.55" hidden="false" customHeight="false" outlineLevel="0" collapsed="false">
      <c r="A6" s="12" t="s">
        <v>746</v>
      </c>
      <c r="B6" s="12" t="s">
        <v>747</v>
      </c>
      <c r="C6" s="12" t="n">
        <v>1</v>
      </c>
      <c r="D6" s="12" t="s">
        <v>748</v>
      </c>
      <c r="E6" s="12" t="s">
        <v>324</v>
      </c>
      <c r="F6" s="12" t="str">
        <f aca="false">IF(COUNTIF('Item modifiers'!$C:$C,A6)&gt;0,"Yes","")</f>
        <v/>
      </c>
    </row>
    <row r="7" customFormat="false" ht="64.9" hidden="false" customHeight="false" outlineLevel="0" collapsed="false">
      <c r="A7" s="12" t="s">
        <v>749</v>
      </c>
      <c r="B7" s="12" t="s">
        <v>750</v>
      </c>
      <c r="C7" s="12" t="n">
        <v>1</v>
      </c>
      <c r="D7" s="12" t="s">
        <v>751</v>
      </c>
      <c r="E7" s="12" t="s">
        <v>752</v>
      </c>
      <c r="F7" s="12" t="str">
        <f aca="false">IF(COUNTIF('Item modifiers'!$C:$C,A7)&gt;0,"Yes","")</f>
        <v/>
      </c>
    </row>
    <row r="8" customFormat="false" ht="15" hidden="false" customHeight="false" outlineLevel="0" collapsed="false">
      <c r="A8" s="12" t="s">
        <v>753</v>
      </c>
      <c r="B8" s="12" t="s">
        <v>754</v>
      </c>
      <c r="C8" s="12" t="n">
        <v>68</v>
      </c>
      <c r="D8" s="12" t="s">
        <v>295</v>
      </c>
      <c r="E8" s="12" t="s">
        <v>584</v>
      </c>
      <c r="F8" s="12" t="str">
        <f aca="false">IF(COUNTIF('Item modifiers'!$C:$C,A8)&gt;0,"Yes","")</f>
        <v/>
      </c>
    </row>
    <row r="9" customFormat="false" ht="15" hidden="false" customHeight="false" outlineLevel="0" collapsed="false">
      <c r="A9" s="12" t="s">
        <v>755</v>
      </c>
      <c r="B9" s="12" t="s">
        <v>756</v>
      </c>
      <c r="C9" s="12" t="n">
        <v>75</v>
      </c>
      <c r="D9" s="12" t="s">
        <v>116</v>
      </c>
      <c r="E9" s="12" t="s">
        <v>144</v>
      </c>
      <c r="F9" s="12" t="str">
        <f aca="false">IF(COUNTIF('Item modifiers'!$C:$C,A9)&gt;0,"Yes","")</f>
        <v/>
      </c>
    </row>
    <row r="10" customFormat="false" ht="26.85" hidden="false" customHeight="false" outlineLevel="0" collapsed="false">
      <c r="A10" s="12" t="s">
        <v>426</v>
      </c>
      <c r="B10" s="12" t="s">
        <v>427</v>
      </c>
      <c r="C10" s="12" t="n">
        <v>1</v>
      </c>
      <c r="D10" s="12" t="s">
        <v>428</v>
      </c>
      <c r="E10" s="12" t="s">
        <v>429</v>
      </c>
      <c r="F10" s="12" t="str">
        <f aca="false">IF(COUNTIF('Item modifiers'!$C:$C,A10)&gt;0,"Yes","")</f>
        <v>Yes</v>
      </c>
    </row>
    <row r="11" customFormat="false" ht="15" hidden="false" customHeight="false" outlineLevel="0" collapsed="false">
      <c r="A11" s="12" t="s">
        <v>757</v>
      </c>
      <c r="B11" s="12" t="s">
        <v>758</v>
      </c>
      <c r="C11" s="12" t="n">
        <v>60</v>
      </c>
      <c r="D11" s="12" t="s">
        <v>759</v>
      </c>
      <c r="E11" s="12" t="s">
        <v>208</v>
      </c>
      <c r="F11" s="12" t="str">
        <f aca="false">IF(COUNTIF('Item modifiers'!$C:$C,A11)&gt;0,"Yes","")</f>
        <v/>
      </c>
    </row>
    <row r="12" customFormat="false" ht="15" hidden="false" customHeight="false" outlineLevel="0" collapsed="false">
      <c r="A12" s="12" t="s">
        <v>760</v>
      </c>
      <c r="B12" s="12" t="s">
        <v>761</v>
      </c>
      <c r="C12" s="12" t="n">
        <v>36</v>
      </c>
      <c r="D12" s="12" t="s">
        <v>220</v>
      </c>
      <c r="E12" s="12" t="s">
        <v>136</v>
      </c>
      <c r="F12" s="12" t="str">
        <f aca="false">IF(COUNTIF('Item modifiers'!$C:$C,A12)&gt;0,"Yes","")</f>
        <v/>
      </c>
    </row>
    <row r="13" customFormat="false" ht="39.55" hidden="false" customHeight="false" outlineLevel="0" collapsed="false">
      <c r="A13" s="12" t="s">
        <v>762</v>
      </c>
      <c r="B13" s="12" t="s">
        <v>763</v>
      </c>
      <c r="C13" s="12" t="n">
        <v>1</v>
      </c>
      <c r="D13" s="12" t="s">
        <v>764</v>
      </c>
      <c r="E13" s="12" t="s">
        <v>117</v>
      </c>
      <c r="F13" s="12" t="str">
        <f aca="false">IF(COUNTIF('Item modifiers'!$C:$C,A13)&gt;0,"Yes","")</f>
        <v/>
      </c>
    </row>
    <row r="14" customFormat="false" ht="77.6" hidden="false" customHeight="false" outlineLevel="0" collapsed="false">
      <c r="A14" s="12" t="s">
        <v>765</v>
      </c>
      <c r="B14" s="12" t="s">
        <v>766</v>
      </c>
      <c r="C14" s="12" t="n">
        <v>1</v>
      </c>
      <c r="D14" s="12" t="s">
        <v>420</v>
      </c>
      <c r="E14" s="12" t="s">
        <v>429</v>
      </c>
      <c r="F14" s="12" t="str">
        <f aca="false">IF(COUNTIF('Item modifiers'!$C:$C,A14)&gt;0,"Yes","")</f>
        <v/>
      </c>
    </row>
    <row r="15" customFormat="false" ht="26.85" hidden="false" customHeight="false" outlineLevel="0" collapsed="false">
      <c r="A15" s="12" t="s">
        <v>767</v>
      </c>
      <c r="B15" s="12" t="s">
        <v>768</v>
      </c>
      <c r="C15" s="12" t="n">
        <v>60</v>
      </c>
      <c r="D15" s="12" t="s">
        <v>493</v>
      </c>
      <c r="E15" s="12" t="s">
        <v>208</v>
      </c>
      <c r="F15" s="12" t="str">
        <f aca="false">IF(COUNTIF('Item modifiers'!$C:$C,A15)&gt;0,"Yes","")</f>
        <v/>
      </c>
    </row>
    <row r="16" customFormat="false" ht="39.55" hidden="false" customHeight="false" outlineLevel="0" collapsed="false">
      <c r="A16" s="12" t="s">
        <v>769</v>
      </c>
      <c r="B16" s="12" t="s">
        <v>770</v>
      </c>
      <c r="C16" s="12" t="n">
        <v>1</v>
      </c>
      <c r="D16" s="12" t="s">
        <v>560</v>
      </c>
      <c r="E16" s="12" t="s">
        <v>561</v>
      </c>
      <c r="F16" s="12" t="str">
        <f aca="false">IF(COUNTIF('Item modifiers'!$C:$C,A16)&gt;0,"Yes","")</f>
        <v/>
      </c>
    </row>
    <row r="17" customFormat="false" ht="39.55" hidden="false" customHeight="false" outlineLevel="0" collapsed="false">
      <c r="A17" s="12" t="s">
        <v>771</v>
      </c>
      <c r="B17" s="12" t="s">
        <v>772</v>
      </c>
      <c r="C17" s="12" t="n">
        <v>60</v>
      </c>
      <c r="D17" s="12" t="s">
        <v>40</v>
      </c>
      <c r="E17" s="12" t="s">
        <v>208</v>
      </c>
      <c r="F17" s="12" t="str">
        <f aca="false">IF(COUNTIF('Item modifiers'!$C:$C,A17)&gt;0,"Yes","")</f>
        <v/>
      </c>
    </row>
    <row r="18" customFormat="false" ht="26.85" hidden="false" customHeight="false" outlineLevel="0" collapsed="false">
      <c r="A18" s="12" t="s">
        <v>438</v>
      </c>
      <c r="B18" s="12" t="s">
        <v>439</v>
      </c>
      <c r="C18" s="12" t="n">
        <v>1</v>
      </c>
      <c r="D18" s="12" t="s">
        <v>428</v>
      </c>
      <c r="E18" s="12" t="s">
        <v>429</v>
      </c>
      <c r="F18" s="12" t="str">
        <f aca="false">IF(COUNTIF('Item modifiers'!$C:$C,A18)&gt;0,"Yes","")</f>
        <v>Yes</v>
      </c>
    </row>
    <row r="19" customFormat="false" ht="39.55" hidden="false" customHeight="false" outlineLevel="0" collapsed="false">
      <c r="A19" s="12" t="s">
        <v>773</v>
      </c>
      <c r="B19" s="12" t="s">
        <v>774</v>
      </c>
      <c r="C19" s="12" t="n">
        <v>1</v>
      </c>
      <c r="D19" s="12" t="s">
        <v>775</v>
      </c>
      <c r="E19" s="12" t="s">
        <v>117</v>
      </c>
      <c r="F19" s="12" t="str">
        <f aca="false">IF(COUNTIF('Item modifiers'!$C:$C,A19)&gt;0,"Yes","")</f>
        <v/>
      </c>
    </row>
    <row r="20" customFormat="false" ht="77.6" hidden="false" customHeight="false" outlineLevel="0" collapsed="false">
      <c r="A20" s="12" t="s">
        <v>776</v>
      </c>
      <c r="B20" s="12" t="s">
        <v>777</v>
      </c>
      <c r="C20" s="12" t="n">
        <v>1</v>
      </c>
      <c r="D20" s="12" t="s">
        <v>420</v>
      </c>
      <c r="E20" s="12" t="s">
        <v>429</v>
      </c>
      <c r="F20" s="12" t="str">
        <f aca="false">IF(COUNTIF('Item modifiers'!$C:$C,A20)&gt;0,"Yes","")</f>
        <v/>
      </c>
    </row>
    <row r="21" customFormat="false" ht="15" hidden="false" customHeight="false" outlineLevel="0" collapsed="false">
      <c r="A21" s="12" t="s">
        <v>778</v>
      </c>
      <c r="B21" s="12" t="s">
        <v>779</v>
      </c>
      <c r="C21" s="12" t="n">
        <v>2</v>
      </c>
      <c r="D21" s="12" t="s">
        <v>780</v>
      </c>
      <c r="E21" s="12" t="s">
        <v>85</v>
      </c>
      <c r="F21" s="12" t="str">
        <f aca="false">IF(COUNTIF('Item modifiers'!$C:$C,A21)&gt;0,"Yes","")</f>
        <v/>
      </c>
    </row>
    <row r="22" customFormat="false" ht="26.85" hidden="false" customHeight="false" outlineLevel="0" collapsed="false">
      <c r="A22" s="12" t="s">
        <v>781</v>
      </c>
      <c r="B22" s="12" t="s">
        <v>782</v>
      </c>
      <c r="C22" s="12" t="n">
        <v>0</v>
      </c>
      <c r="D22" s="12" t="s">
        <v>629</v>
      </c>
      <c r="E22" s="12" t="s">
        <v>630</v>
      </c>
      <c r="F22" s="12" t="str">
        <f aca="false">IF(COUNTIF('Item modifiers'!$C:$C,A22)&gt;0,"Yes","")</f>
        <v/>
      </c>
    </row>
    <row r="23" customFormat="false" ht="39.55" hidden="false" customHeight="false" outlineLevel="0" collapsed="false">
      <c r="A23" s="12" t="s">
        <v>783</v>
      </c>
      <c r="B23" s="12" t="s">
        <v>784</v>
      </c>
      <c r="C23" s="12" t="n">
        <v>16</v>
      </c>
      <c r="D23" s="12" t="s">
        <v>785</v>
      </c>
      <c r="E23" s="12" t="s">
        <v>342</v>
      </c>
      <c r="F23" s="12" t="str">
        <f aca="false">IF(COUNTIF('Item modifiers'!$C:$C,A23)&gt;0,"Yes","")</f>
        <v/>
      </c>
    </row>
    <row r="24" customFormat="false" ht="39.55" hidden="false" customHeight="false" outlineLevel="0" collapsed="false">
      <c r="A24" s="12" t="s">
        <v>339</v>
      </c>
      <c r="B24" s="12" t="s">
        <v>340</v>
      </c>
      <c r="C24" s="12" t="n">
        <v>16</v>
      </c>
      <c r="D24" s="12" t="s">
        <v>341</v>
      </c>
      <c r="E24" s="12" t="s">
        <v>342</v>
      </c>
      <c r="F24" s="12" t="str">
        <f aca="false">IF(COUNTIF('Item modifiers'!$C:$C,A24)&gt;0,"Yes","")</f>
        <v>Yes</v>
      </c>
    </row>
    <row r="25" customFormat="false" ht="39.55" hidden="false" customHeight="false" outlineLevel="0" collapsed="false">
      <c r="A25" s="12" t="s">
        <v>786</v>
      </c>
      <c r="B25" s="12" t="s">
        <v>787</v>
      </c>
      <c r="C25" s="12" t="n">
        <v>16</v>
      </c>
      <c r="D25" s="12" t="s">
        <v>788</v>
      </c>
      <c r="E25" s="12" t="s">
        <v>342</v>
      </c>
      <c r="F25" s="12" t="str">
        <f aca="false">IF(COUNTIF('Item modifiers'!$C:$C,A25)&gt;0,"Yes","")</f>
        <v/>
      </c>
    </row>
    <row r="26" customFormat="false" ht="26.85" hidden="false" customHeight="false" outlineLevel="0" collapsed="false">
      <c r="A26" s="12" t="s">
        <v>789</v>
      </c>
      <c r="B26" s="12" t="s">
        <v>790</v>
      </c>
      <c r="C26" s="12" t="n">
        <v>40</v>
      </c>
      <c r="D26" s="12" t="s">
        <v>791</v>
      </c>
      <c r="E26" s="12" t="s">
        <v>792</v>
      </c>
      <c r="F26" s="12" t="str">
        <f aca="false">IF(COUNTIF('Item modifiers'!$C:$C,A26)&gt;0,"Yes","")</f>
        <v/>
      </c>
    </row>
    <row r="27" customFormat="false" ht="26.85" hidden="false" customHeight="false" outlineLevel="0" collapsed="false">
      <c r="A27" s="12" t="s">
        <v>793</v>
      </c>
      <c r="B27" s="12" t="s">
        <v>794</v>
      </c>
      <c r="C27" s="12" t="n">
        <v>40</v>
      </c>
      <c r="D27" s="12" t="s">
        <v>791</v>
      </c>
      <c r="E27" s="12" t="s">
        <v>792</v>
      </c>
      <c r="F27" s="12" t="str">
        <f aca="false">IF(COUNTIF('Item modifiers'!$C:$C,A27)&gt;0,"Yes","")</f>
        <v/>
      </c>
    </row>
    <row r="28" customFormat="false" ht="26.85" hidden="false" customHeight="false" outlineLevel="0" collapsed="false">
      <c r="A28" s="12" t="s">
        <v>795</v>
      </c>
      <c r="B28" s="12" t="s">
        <v>796</v>
      </c>
      <c r="C28" s="12" t="n">
        <v>40</v>
      </c>
      <c r="D28" s="12" t="s">
        <v>791</v>
      </c>
      <c r="E28" s="12" t="s">
        <v>792</v>
      </c>
      <c r="F28" s="12" t="str">
        <f aca="false">IF(COUNTIF('Item modifiers'!$C:$C,A28)&gt;0,"Yes","")</f>
        <v/>
      </c>
    </row>
    <row r="29" customFormat="false" ht="77.6" hidden="false" customHeight="false" outlineLevel="0" collapsed="false">
      <c r="A29" s="12" t="s">
        <v>545</v>
      </c>
      <c r="B29" s="12" t="s">
        <v>546</v>
      </c>
      <c r="C29" s="12" t="n">
        <v>1</v>
      </c>
      <c r="D29" s="12" t="s">
        <v>420</v>
      </c>
      <c r="E29" s="12" t="s">
        <v>429</v>
      </c>
      <c r="F29" s="12" t="str">
        <f aca="false">IF(COUNTIF('Item modifiers'!$C:$C,A29)&gt;0,"Yes","")</f>
        <v>Yes</v>
      </c>
    </row>
    <row r="30" customFormat="false" ht="39.55" hidden="false" customHeight="false" outlineLevel="0" collapsed="false">
      <c r="A30" s="12" t="s">
        <v>558</v>
      </c>
      <c r="B30" s="12" t="s">
        <v>559</v>
      </c>
      <c r="C30" s="12" t="n">
        <v>1</v>
      </c>
      <c r="D30" s="12" t="s">
        <v>560</v>
      </c>
      <c r="E30" s="12" t="s">
        <v>561</v>
      </c>
      <c r="F30" s="12" t="str">
        <f aca="false">IF(COUNTIF('Item modifiers'!$C:$C,A30)&gt;0,"Yes","")</f>
        <v>Yes</v>
      </c>
    </row>
    <row r="31" customFormat="false" ht="39.55" hidden="false" customHeight="false" outlineLevel="0" collapsed="false">
      <c r="A31" s="12" t="s">
        <v>797</v>
      </c>
      <c r="B31" s="12" t="s">
        <v>798</v>
      </c>
      <c r="C31" s="12" t="n">
        <v>60</v>
      </c>
      <c r="D31" s="12" t="s">
        <v>40</v>
      </c>
      <c r="E31" s="12" t="s">
        <v>208</v>
      </c>
      <c r="F31" s="12" t="str">
        <f aca="false">IF(COUNTIF('Item modifiers'!$C:$C,A31)&gt;0,"Yes","")</f>
        <v/>
      </c>
    </row>
    <row r="32" customFormat="false" ht="39.55" hidden="false" customHeight="false" outlineLevel="0" collapsed="false">
      <c r="A32" s="12" t="s">
        <v>799</v>
      </c>
      <c r="B32" s="12" t="s">
        <v>800</v>
      </c>
      <c r="C32" s="12" t="n">
        <v>1</v>
      </c>
      <c r="D32" s="12" t="s">
        <v>560</v>
      </c>
      <c r="E32" s="12" t="s">
        <v>561</v>
      </c>
      <c r="F32" s="12" t="str">
        <f aca="false">IF(COUNTIF('Item modifiers'!$C:$C,A32)&gt;0,"Yes","")</f>
        <v/>
      </c>
    </row>
    <row r="33" customFormat="false" ht="39.55" hidden="false" customHeight="false" outlineLevel="0" collapsed="false">
      <c r="A33" s="12" t="s">
        <v>801</v>
      </c>
      <c r="B33" s="12" t="s">
        <v>802</v>
      </c>
      <c r="C33" s="12" t="n">
        <v>60</v>
      </c>
      <c r="D33" s="12" t="s">
        <v>40</v>
      </c>
      <c r="E33" s="12" t="s">
        <v>208</v>
      </c>
      <c r="F33" s="12" t="str">
        <f aca="false">IF(COUNTIF('Item modifiers'!$C:$C,A33)&gt;0,"Yes","")</f>
        <v/>
      </c>
    </row>
    <row r="34" customFormat="false" ht="77.6" hidden="false" customHeight="false" outlineLevel="0" collapsed="false">
      <c r="A34" s="12" t="s">
        <v>551</v>
      </c>
      <c r="B34" s="12" t="s">
        <v>552</v>
      </c>
      <c r="C34" s="12" t="n">
        <v>1</v>
      </c>
      <c r="D34" s="12" t="s">
        <v>553</v>
      </c>
      <c r="E34" s="12" t="s">
        <v>554</v>
      </c>
      <c r="F34" s="12" t="str">
        <f aca="false">IF(COUNTIF('Item modifiers'!$C:$C,A34)&gt;0,"Yes","")</f>
        <v>Yes</v>
      </c>
    </row>
    <row r="35" customFormat="false" ht="15" hidden="false" customHeight="false" outlineLevel="0" collapsed="false">
      <c r="A35" s="12" t="s">
        <v>803</v>
      </c>
      <c r="B35" s="12" t="s">
        <v>804</v>
      </c>
      <c r="C35" s="12" t="n">
        <v>1</v>
      </c>
      <c r="D35" s="12" t="s">
        <v>805</v>
      </c>
      <c r="E35" s="12" t="s">
        <v>470</v>
      </c>
      <c r="F35" s="12" t="str">
        <f aca="false">IF(COUNTIF('Item modifiers'!$C:$C,A35)&gt;0,"Yes","")</f>
        <v/>
      </c>
    </row>
    <row r="36" customFormat="false" ht="26.85" hidden="false" customHeight="false" outlineLevel="0" collapsed="false">
      <c r="A36" s="12" t="s">
        <v>806</v>
      </c>
      <c r="B36" s="12" t="s">
        <v>807</v>
      </c>
      <c r="C36" s="12" t="n">
        <v>12</v>
      </c>
      <c r="D36" s="12" t="s">
        <v>780</v>
      </c>
      <c r="E36" s="12" t="s">
        <v>561</v>
      </c>
      <c r="F36" s="12" t="str">
        <f aca="false">IF(COUNTIF('Item modifiers'!$C:$C,A36)&gt;0,"Yes","")</f>
        <v/>
      </c>
    </row>
    <row r="37" customFormat="false" ht="52.2" hidden="false" customHeight="false" outlineLevel="0" collapsed="false">
      <c r="A37" s="12" t="s">
        <v>442</v>
      </c>
      <c r="B37" s="12" t="s">
        <v>443</v>
      </c>
      <c r="C37" s="12" t="n">
        <v>16</v>
      </c>
      <c r="D37" s="12" t="s">
        <v>444</v>
      </c>
      <c r="E37" s="12" t="s">
        <v>445</v>
      </c>
      <c r="F37" s="12" t="str">
        <f aca="false">IF(COUNTIF('Item modifiers'!$C:$C,A37)&gt;0,"Yes","")</f>
        <v>Yes</v>
      </c>
    </row>
    <row r="38" customFormat="false" ht="26.85" hidden="false" customHeight="false" outlineLevel="0" collapsed="false">
      <c r="A38" s="12" t="s">
        <v>808</v>
      </c>
      <c r="B38" s="12" t="s">
        <v>809</v>
      </c>
      <c r="C38" s="12" t="n">
        <v>1</v>
      </c>
      <c r="D38" s="12" t="s">
        <v>98</v>
      </c>
      <c r="E38" s="12" t="s">
        <v>85</v>
      </c>
      <c r="F38" s="12" t="str">
        <f aca="false">IF(COUNTIF('Item modifiers'!$C:$C,A38)&gt;0,"Yes","")</f>
        <v/>
      </c>
    </row>
    <row r="39" customFormat="false" ht="26.85" hidden="false" customHeight="false" outlineLevel="0" collapsed="false">
      <c r="A39" s="12" t="s">
        <v>810</v>
      </c>
      <c r="B39" s="12" t="s">
        <v>811</v>
      </c>
      <c r="C39" s="12" t="n">
        <v>1</v>
      </c>
      <c r="D39" s="12" t="s">
        <v>812</v>
      </c>
      <c r="E39" s="12" t="s">
        <v>85</v>
      </c>
      <c r="F39" s="12" t="str">
        <f aca="false">IF(COUNTIF('Item modifiers'!$C:$C,A39)&gt;0,"Yes","")</f>
        <v/>
      </c>
    </row>
    <row r="40" customFormat="false" ht="39.55" hidden="false" customHeight="false" outlineLevel="0" collapsed="false">
      <c r="A40" s="12" t="s">
        <v>206</v>
      </c>
      <c r="B40" s="12" t="s">
        <v>207</v>
      </c>
      <c r="C40" s="12" t="n">
        <v>60</v>
      </c>
      <c r="D40" s="12" t="s">
        <v>40</v>
      </c>
      <c r="E40" s="12" t="s">
        <v>208</v>
      </c>
      <c r="F40" s="12" t="str">
        <f aca="false">IF(COUNTIF('Item modifiers'!$C:$C,A40)&gt;0,"Yes","")</f>
        <v>Yes</v>
      </c>
    </row>
    <row r="41" customFormat="false" ht="26.85" hidden="false" customHeight="false" outlineLevel="0" collapsed="false">
      <c r="A41" s="12" t="s">
        <v>515</v>
      </c>
      <c r="B41" s="12" t="s">
        <v>516</v>
      </c>
      <c r="C41" s="12" t="n">
        <v>1</v>
      </c>
      <c r="D41" s="12" t="s">
        <v>517</v>
      </c>
      <c r="E41" s="12" t="s">
        <v>518</v>
      </c>
      <c r="F41" s="12" t="str">
        <f aca="false">IF(COUNTIF('Item modifiers'!$C:$C,A41)&gt;0,"Yes","")</f>
        <v>Yes</v>
      </c>
    </row>
    <row r="42" customFormat="false" ht="15" hidden="false" customHeight="false" outlineLevel="0" collapsed="false">
      <c r="A42" s="12" t="s">
        <v>813</v>
      </c>
      <c r="B42" s="12" t="s">
        <v>814</v>
      </c>
      <c r="C42" s="12" t="n">
        <v>45</v>
      </c>
      <c r="D42" s="12" t="s">
        <v>815</v>
      </c>
      <c r="E42" s="12" t="s">
        <v>816</v>
      </c>
      <c r="F42" s="12" t="str">
        <f aca="false">IF(COUNTIF('Item modifiers'!$C:$C,A42)&gt;0,"Yes","")</f>
        <v/>
      </c>
    </row>
    <row r="43" customFormat="false" ht="26.85" hidden="false" customHeight="false" outlineLevel="0" collapsed="false">
      <c r="A43" s="12" t="s">
        <v>480</v>
      </c>
      <c r="B43" s="12" t="s">
        <v>481</v>
      </c>
      <c r="C43" s="12" t="n">
        <v>1</v>
      </c>
      <c r="D43" s="12" t="s">
        <v>233</v>
      </c>
      <c r="E43" s="12" t="s">
        <v>117</v>
      </c>
      <c r="F43" s="12" t="str">
        <f aca="false">IF(COUNTIF('Item modifiers'!$C:$C,A43)&gt;0,"Yes","")</f>
        <v>Yes</v>
      </c>
    </row>
    <row r="44" customFormat="false" ht="26.85" hidden="false" customHeight="false" outlineLevel="0" collapsed="false">
      <c r="A44" s="12" t="s">
        <v>473</v>
      </c>
      <c r="B44" s="12" t="s">
        <v>474</v>
      </c>
      <c r="C44" s="12" t="n">
        <v>1</v>
      </c>
      <c r="D44" s="12" t="s">
        <v>262</v>
      </c>
      <c r="E44" s="12" t="s">
        <v>125</v>
      </c>
      <c r="F44" s="12" t="str">
        <f aca="false">IF(COUNTIF('Item modifiers'!$C:$C,A44)&gt;0,"Yes","")</f>
        <v>Yes</v>
      </c>
    </row>
    <row r="45" customFormat="false" ht="39.55" hidden="false" customHeight="false" outlineLevel="0" collapsed="false">
      <c r="A45" s="12" t="s">
        <v>379</v>
      </c>
      <c r="B45" s="12" t="s">
        <v>380</v>
      </c>
      <c r="C45" s="12" t="n">
        <v>1</v>
      </c>
      <c r="D45" s="12" t="s">
        <v>40</v>
      </c>
      <c r="E45" s="12" t="s">
        <v>117</v>
      </c>
      <c r="F45" s="12" t="str">
        <f aca="false">IF(COUNTIF('Item modifiers'!$C:$C,A45)&gt;0,"Yes","")</f>
        <v>Yes</v>
      </c>
    </row>
    <row r="46" customFormat="false" ht="39.55" hidden="false" customHeight="false" outlineLevel="0" collapsed="false">
      <c r="A46" s="12" t="s">
        <v>817</v>
      </c>
      <c r="B46" s="12" t="s">
        <v>818</v>
      </c>
      <c r="C46" s="12" t="n">
        <v>1</v>
      </c>
      <c r="D46" s="12" t="s">
        <v>40</v>
      </c>
      <c r="E46" s="12" t="s">
        <v>117</v>
      </c>
      <c r="F46" s="12" t="str">
        <f aca="false">IF(COUNTIF('Item modifiers'!$C:$C,A46)&gt;0,"Yes","")</f>
        <v/>
      </c>
    </row>
    <row r="47" customFormat="false" ht="26.85" hidden="false" customHeight="false" outlineLevel="0" collapsed="false">
      <c r="A47" s="12" t="s">
        <v>819</v>
      </c>
      <c r="B47" s="12" t="s">
        <v>820</v>
      </c>
      <c r="C47" s="12" t="n">
        <v>75</v>
      </c>
      <c r="D47" s="12" t="s">
        <v>116</v>
      </c>
      <c r="E47" s="12" t="s">
        <v>144</v>
      </c>
      <c r="F47" s="12" t="str">
        <f aca="false">IF(COUNTIF('Item modifiers'!$C:$C,A47)&gt;0,"Yes","")</f>
        <v/>
      </c>
    </row>
    <row r="48" customFormat="false" ht="39.55" hidden="false" customHeight="false" outlineLevel="0" collapsed="false">
      <c r="A48" s="12" t="s">
        <v>821</v>
      </c>
      <c r="B48" s="12" t="s">
        <v>822</v>
      </c>
      <c r="C48" s="12" t="n">
        <v>1</v>
      </c>
      <c r="D48" s="12" t="s">
        <v>823</v>
      </c>
      <c r="E48" s="12" t="s">
        <v>824</v>
      </c>
      <c r="F48" s="12" t="str">
        <f aca="false">IF(COUNTIF('Item modifiers'!$C:$C,A48)&gt;0,"Yes","")</f>
        <v/>
      </c>
    </row>
    <row r="49" customFormat="false" ht="39.55" hidden="false" customHeight="false" outlineLevel="0" collapsed="false">
      <c r="A49" s="12" t="s">
        <v>825</v>
      </c>
      <c r="B49" s="12" t="s">
        <v>826</v>
      </c>
      <c r="C49" s="12" t="n">
        <v>1</v>
      </c>
      <c r="D49" s="12" t="s">
        <v>827</v>
      </c>
      <c r="E49" s="12" t="s">
        <v>828</v>
      </c>
      <c r="F49" s="12" t="str">
        <f aca="false">IF(COUNTIF('Item modifiers'!$C:$C,A49)&gt;0,"Yes","")</f>
        <v/>
      </c>
    </row>
    <row r="50" customFormat="false" ht="26.85" hidden="false" customHeight="false" outlineLevel="0" collapsed="false">
      <c r="A50" s="12" t="s">
        <v>829</v>
      </c>
      <c r="B50" s="12" t="s">
        <v>830</v>
      </c>
      <c r="C50" s="12" t="n">
        <v>1</v>
      </c>
      <c r="D50" s="12" t="s">
        <v>823</v>
      </c>
      <c r="E50" s="12" t="s">
        <v>831</v>
      </c>
      <c r="F50" s="12" t="str">
        <f aca="false">IF(COUNTIF('Item modifiers'!$C:$C,A50)&gt;0,"Yes","")</f>
        <v/>
      </c>
    </row>
    <row r="51" customFormat="false" ht="39.55" hidden="false" customHeight="false" outlineLevel="0" collapsed="false">
      <c r="A51" s="12" t="s">
        <v>832</v>
      </c>
      <c r="B51" s="12" t="s">
        <v>833</v>
      </c>
      <c r="C51" s="12" t="n">
        <v>1</v>
      </c>
      <c r="D51" s="12" t="s">
        <v>834</v>
      </c>
      <c r="E51" s="12" t="s">
        <v>835</v>
      </c>
      <c r="F51" s="12" t="str">
        <f aca="false">IF(COUNTIF('Item modifiers'!$C:$C,A51)&gt;0,"Yes","")</f>
        <v/>
      </c>
    </row>
    <row r="52" customFormat="false" ht="15" hidden="false" customHeight="false" outlineLevel="0" collapsed="false">
      <c r="A52" s="12" t="s">
        <v>511</v>
      </c>
      <c r="B52" s="12" t="s">
        <v>512</v>
      </c>
      <c r="C52" s="12" t="n">
        <v>45</v>
      </c>
      <c r="D52" s="12" t="s">
        <v>233</v>
      </c>
      <c r="E52" s="12" t="s">
        <v>70</v>
      </c>
      <c r="F52" s="12" t="str">
        <f aca="false">IF(COUNTIF('Item modifiers'!$C:$C,A52)&gt;0,"Yes","")</f>
        <v>Yes</v>
      </c>
    </row>
    <row r="53" customFormat="false" ht="15" hidden="false" customHeight="false" outlineLevel="0" collapsed="false">
      <c r="A53" s="12" t="s">
        <v>836</v>
      </c>
      <c r="B53" s="12" t="s">
        <v>837</v>
      </c>
      <c r="C53" s="12" t="n">
        <v>63</v>
      </c>
      <c r="D53" s="12" t="s">
        <v>220</v>
      </c>
      <c r="E53" s="12" t="s">
        <v>462</v>
      </c>
      <c r="F53" s="12" t="str">
        <f aca="false">IF(COUNTIF('Item modifiers'!$C:$C,A53)&gt;0,"Yes","")</f>
        <v/>
      </c>
    </row>
    <row r="54" customFormat="false" ht="15" hidden="false" customHeight="false" outlineLevel="0" collapsed="false">
      <c r="A54" s="12" t="s">
        <v>467</v>
      </c>
      <c r="B54" s="12" t="s">
        <v>468</v>
      </c>
      <c r="C54" s="12" t="n">
        <v>1</v>
      </c>
      <c r="D54" s="12" t="s">
        <v>469</v>
      </c>
      <c r="E54" s="12" t="s">
        <v>470</v>
      </c>
      <c r="F54" s="12" t="str">
        <f aca="false">IF(COUNTIF('Item modifiers'!$C:$C,A54)&gt;0,"Yes","")</f>
        <v>Yes</v>
      </c>
    </row>
    <row r="55" customFormat="false" ht="15" hidden="false" customHeight="false" outlineLevel="0" collapsed="false">
      <c r="A55" s="12" t="s">
        <v>838</v>
      </c>
      <c r="B55" s="12" t="s">
        <v>839</v>
      </c>
      <c r="C55" s="12" t="n">
        <v>1</v>
      </c>
      <c r="D55" s="12" t="s">
        <v>840</v>
      </c>
      <c r="E55" s="12" t="s">
        <v>117</v>
      </c>
      <c r="F55" s="12" t="str">
        <f aca="false">IF(COUNTIF('Item modifiers'!$C:$C,A55)&gt;0,"Yes","")</f>
        <v/>
      </c>
    </row>
    <row r="56" customFormat="false" ht="15" hidden="false" customHeight="false" outlineLevel="0" collapsed="false">
      <c r="A56" s="12" t="s">
        <v>841</v>
      </c>
      <c r="B56" s="12" t="s">
        <v>842</v>
      </c>
      <c r="C56" s="12" t="n">
        <v>75</v>
      </c>
      <c r="D56" s="12" t="s">
        <v>116</v>
      </c>
      <c r="E56" s="12" t="s">
        <v>289</v>
      </c>
      <c r="F56" s="12" t="str">
        <f aca="false">IF(COUNTIF('Item modifiers'!$C:$C,A56)&gt;0,"Yes","")</f>
        <v/>
      </c>
    </row>
    <row r="57" customFormat="false" ht="39.55" hidden="false" customHeight="false" outlineLevel="0" collapsed="false">
      <c r="A57" s="12" t="s">
        <v>156</v>
      </c>
      <c r="B57" s="12" t="s">
        <v>157</v>
      </c>
      <c r="C57" s="12" t="n">
        <v>1</v>
      </c>
      <c r="D57" s="12" t="s">
        <v>158</v>
      </c>
      <c r="E57" s="12" t="s">
        <v>159</v>
      </c>
      <c r="F57" s="12" t="str">
        <f aca="false">IF(COUNTIF('Item modifiers'!$C:$C,A57)&gt;0,"Yes","")</f>
        <v>Yes</v>
      </c>
    </row>
    <row r="58" customFormat="false" ht="52.2" hidden="false" customHeight="false" outlineLevel="0" collapsed="false">
      <c r="A58" s="12" t="s">
        <v>843</v>
      </c>
      <c r="B58" s="12" t="s">
        <v>844</v>
      </c>
      <c r="C58" s="12" t="n">
        <v>1</v>
      </c>
      <c r="D58" s="12" t="s">
        <v>845</v>
      </c>
      <c r="E58" s="12" t="s">
        <v>846</v>
      </c>
      <c r="F58" s="12" t="str">
        <f aca="false">IF(COUNTIF('Item modifiers'!$C:$C,A58)&gt;0,"Yes","")</f>
        <v/>
      </c>
    </row>
    <row r="59" customFormat="false" ht="26.85" hidden="false" customHeight="false" outlineLevel="0" collapsed="false">
      <c r="A59" s="12" t="s">
        <v>847</v>
      </c>
      <c r="B59" s="12" t="s">
        <v>848</v>
      </c>
      <c r="C59" s="12" t="n">
        <v>38</v>
      </c>
      <c r="D59" s="12" t="s">
        <v>116</v>
      </c>
      <c r="E59" s="12" t="s">
        <v>584</v>
      </c>
      <c r="F59" s="12" t="str">
        <f aca="false">IF(COUNTIF('Item modifiers'!$C:$C,A59)&gt;0,"Yes","")</f>
        <v/>
      </c>
    </row>
    <row r="60" customFormat="false" ht="26.85" hidden="false" customHeight="false" outlineLevel="0" collapsed="false">
      <c r="A60" s="12" t="s">
        <v>525</v>
      </c>
      <c r="B60" s="12" t="s">
        <v>526</v>
      </c>
      <c r="C60" s="12" t="n">
        <v>1</v>
      </c>
      <c r="D60" s="12" t="s">
        <v>527</v>
      </c>
      <c r="E60" s="12" t="s">
        <v>528</v>
      </c>
      <c r="F60" s="12" t="str">
        <f aca="false">IF(COUNTIF('Item modifiers'!$C:$C,A60)&gt;0,"Yes","")</f>
        <v>Yes</v>
      </c>
    </row>
    <row r="61" customFormat="false" ht="39.55" hidden="false" customHeight="false" outlineLevel="0" collapsed="false">
      <c r="A61" s="12" t="s">
        <v>387</v>
      </c>
      <c r="B61" s="12" t="s">
        <v>388</v>
      </c>
      <c r="C61" s="12" t="n">
        <v>1</v>
      </c>
      <c r="D61" s="12" t="s">
        <v>389</v>
      </c>
      <c r="E61" s="12" t="s">
        <v>390</v>
      </c>
      <c r="F61" s="12" t="str">
        <f aca="false">IF(COUNTIF('Item modifiers'!$C:$C,A61)&gt;0,"Yes","")</f>
        <v>Yes</v>
      </c>
    </row>
    <row r="62" customFormat="false" ht="26.85" hidden="false" customHeight="false" outlineLevel="0" collapsed="false">
      <c r="A62" s="12" t="s">
        <v>849</v>
      </c>
      <c r="B62" s="12" t="s">
        <v>850</v>
      </c>
      <c r="C62" s="12" t="n">
        <v>45</v>
      </c>
      <c r="D62" s="12" t="s">
        <v>124</v>
      </c>
      <c r="E62" s="12" t="s">
        <v>70</v>
      </c>
      <c r="F62" s="12" t="str">
        <f aca="false">IF(COUNTIF('Item modifiers'!$C:$C,A62)&gt;0,"Yes","")</f>
        <v/>
      </c>
    </row>
    <row r="63" customFormat="false" ht="39.55" hidden="false" customHeight="false" outlineLevel="0" collapsed="false">
      <c r="A63" s="12" t="s">
        <v>851</v>
      </c>
      <c r="B63" s="12" t="s">
        <v>852</v>
      </c>
      <c r="C63" s="12" t="n">
        <v>60</v>
      </c>
      <c r="D63" s="12" t="s">
        <v>40</v>
      </c>
      <c r="E63" s="12" t="s">
        <v>208</v>
      </c>
      <c r="F63" s="12" t="str">
        <f aca="false">IF(COUNTIF('Item modifiers'!$C:$C,A63)&gt;0,"Yes","")</f>
        <v/>
      </c>
    </row>
    <row r="64" customFormat="false" ht="26.85" hidden="false" customHeight="false" outlineLevel="0" collapsed="false">
      <c r="A64" s="12" t="s">
        <v>853</v>
      </c>
      <c r="B64" s="12" t="s">
        <v>854</v>
      </c>
      <c r="C64" s="12" t="n">
        <v>45</v>
      </c>
      <c r="D64" s="12" t="s">
        <v>855</v>
      </c>
      <c r="E64" s="12" t="s">
        <v>856</v>
      </c>
      <c r="F64" s="12" t="str">
        <f aca="false">IF(COUNTIF('Item modifiers'!$C:$C,A64)&gt;0,"Yes","")</f>
        <v/>
      </c>
    </row>
    <row r="65" customFormat="false" ht="26.85" hidden="false" customHeight="false" outlineLevel="0" collapsed="false">
      <c r="A65" s="12" t="s">
        <v>358</v>
      </c>
      <c r="B65" s="12" t="s">
        <v>359</v>
      </c>
      <c r="C65" s="12" t="n">
        <v>50</v>
      </c>
      <c r="D65" s="12" t="s">
        <v>360</v>
      </c>
      <c r="E65" s="12" t="s">
        <v>136</v>
      </c>
      <c r="F65" s="12" t="str">
        <f aca="false">IF(COUNTIF('Item modifiers'!$C:$C,A65)&gt;0,"Yes","")</f>
        <v>Yes</v>
      </c>
    </row>
    <row r="66" customFormat="false" ht="26.85" hidden="false" customHeight="false" outlineLevel="0" collapsed="false">
      <c r="A66" s="12" t="s">
        <v>122</v>
      </c>
      <c r="B66" s="12" t="s">
        <v>123</v>
      </c>
      <c r="C66" s="12" t="n">
        <v>1</v>
      </c>
      <c r="D66" s="12" t="s">
        <v>124</v>
      </c>
      <c r="E66" s="12" t="s">
        <v>125</v>
      </c>
      <c r="F66" s="12" t="str">
        <f aca="false">IF(COUNTIF('Item modifiers'!$C:$C,A66)&gt;0,"Yes","")</f>
        <v>Yes</v>
      </c>
    </row>
    <row r="67" customFormat="false" ht="52.2" hidden="false" customHeight="false" outlineLevel="0" collapsed="false">
      <c r="A67" s="12" t="s">
        <v>60</v>
      </c>
      <c r="B67" s="12" t="s">
        <v>61</v>
      </c>
      <c r="C67" s="12" t="n">
        <v>36</v>
      </c>
      <c r="D67" s="12" t="s">
        <v>62</v>
      </c>
      <c r="E67" s="12" t="s">
        <v>63</v>
      </c>
      <c r="F67" s="12" t="str">
        <f aca="false">IF(COUNTIF('Item modifiers'!$C:$C,A67)&gt;0,"Yes","")</f>
        <v>Yes</v>
      </c>
    </row>
    <row r="68" customFormat="false" ht="39.55" hidden="false" customHeight="false" outlineLevel="0" collapsed="false">
      <c r="A68" s="12" t="s">
        <v>857</v>
      </c>
      <c r="B68" s="12" t="s">
        <v>858</v>
      </c>
      <c r="C68" s="12" t="n">
        <v>63</v>
      </c>
      <c r="D68" s="12" t="s">
        <v>40</v>
      </c>
      <c r="E68" s="12" t="s">
        <v>462</v>
      </c>
      <c r="F68" s="12" t="str">
        <f aca="false">IF(COUNTIF('Item modifiers'!$C:$C,A68)&gt;0,"Yes","")</f>
        <v/>
      </c>
    </row>
    <row r="69" customFormat="false" ht="39.55" hidden="false" customHeight="false" outlineLevel="0" collapsed="false">
      <c r="A69" s="12" t="s">
        <v>68</v>
      </c>
      <c r="B69" s="12" t="s">
        <v>69</v>
      </c>
      <c r="C69" s="12" t="n">
        <v>45</v>
      </c>
      <c r="D69" s="12" t="s">
        <v>40</v>
      </c>
      <c r="E69" s="12" t="s">
        <v>70</v>
      </c>
      <c r="F69" s="12" t="str">
        <f aca="false">IF(COUNTIF('Item modifiers'!$C:$C,A69)&gt;0,"Yes","")</f>
        <v>Yes</v>
      </c>
    </row>
    <row r="70" customFormat="false" ht="52.2" hidden="false" customHeight="false" outlineLevel="0" collapsed="false">
      <c r="A70" s="12" t="s">
        <v>251</v>
      </c>
      <c r="B70" s="12" t="s">
        <v>252</v>
      </c>
      <c r="C70" s="12" t="n">
        <v>1</v>
      </c>
      <c r="D70" s="12" t="s">
        <v>253</v>
      </c>
      <c r="E70" s="12" t="s">
        <v>254</v>
      </c>
      <c r="F70" s="12" t="str">
        <f aca="false">IF(COUNTIF('Item modifiers'!$C:$C,A70)&gt;0,"Yes","")</f>
        <v>Yes</v>
      </c>
    </row>
    <row r="71" customFormat="false" ht="26.85" hidden="false" customHeight="false" outlineLevel="0" collapsed="false">
      <c r="A71" s="12" t="s">
        <v>276</v>
      </c>
      <c r="B71" s="12" t="s">
        <v>277</v>
      </c>
      <c r="C71" s="12" t="n">
        <v>45</v>
      </c>
      <c r="D71" s="12" t="s">
        <v>174</v>
      </c>
      <c r="E71" s="12" t="s">
        <v>70</v>
      </c>
      <c r="F71" s="12" t="str">
        <f aca="false">IF(COUNTIF('Item modifiers'!$C:$C,A71)&gt;0,"Yes","")</f>
        <v>Yes</v>
      </c>
    </row>
    <row r="72" customFormat="false" ht="15" hidden="false" customHeight="false" outlineLevel="0" collapsed="false">
      <c r="A72" s="12" t="s">
        <v>271</v>
      </c>
      <c r="B72" s="12" t="s">
        <v>272</v>
      </c>
      <c r="C72" s="12" t="n">
        <v>1</v>
      </c>
      <c r="D72" s="12" t="s">
        <v>273</v>
      </c>
      <c r="E72" s="12" t="s">
        <v>274</v>
      </c>
      <c r="F72" s="12" t="str">
        <f aca="false">IF(COUNTIF('Item modifiers'!$C:$C,A72)&gt;0,"Yes","")</f>
        <v>Yes</v>
      </c>
    </row>
    <row r="73" customFormat="false" ht="15" hidden="false" customHeight="false" outlineLevel="0" collapsed="false">
      <c r="A73" s="12" t="s">
        <v>859</v>
      </c>
      <c r="B73" s="12" t="s">
        <v>860</v>
      </c>
      <c r="C73" s="12" t="n">
        <v>60</v>
      </c>
      <c r="D73" s="12" t="s">
        <v>262</v>
      </c>
      <c r="E73" s="12" t="s">
        <v>136</v>
      </c>
      <c r="F73" s="12" t="str">
        <f aca="false">IF(COUNTIF('Item modifiers'!$C:$C,A73)&gt;0,"Yes","")</f>
        <v/>
      </c>
    </row>
    <row r="74" customFormat="false" ht="52.2" hidden="false" customHeight="false" outlineLevel="0" collapsed="false">
      <c r="A74" s="12" t="s">
        <v>321</v>
      </c>
      <c r="B74" s="12" t="s">
        <v>322</v>
      </c>
      <c r="C74" s="12" t="n">
        <v>1</v>
      </c>
      <c r="D74" s="12" t="s">
        <v>323</v>
      </c>
      <c r="E74" s="12" t="s">
        <v>324</v>
      </c>
      <c r="F74" s="12" t="str">
        <f aca="false">IF(COUNTIF('Item modifiers'!$C:$C,A74)&gt;0,"Yes","")</f>
        <v>Yes</v>
      </c>
    </row>
    <row r="75" customFormat="false" ht="15" hidden="false" customHeight="false" outlineLevel="0" collapsed="false">
      <c r="A75" s="12" t="s">
        <v>331</v>
      </c>
      <c r="B75" s="12" t="s">
        <v>332</v>
      </c>
      <c r="C75" s="12" t="n">
        <v>1</v>
      </c>
      <c r="D75" s="12" t="s">
        <v>262</v>
      </c>
      <c r="E75" s="12" t="s">
        <v>117</v>
      </c>
      <c r="F75" s="12" t="str">
        <f aca="false">IF(COUNTIF('Item modifiers'!$C:$C,A75)&gt;0,"Yes","")</f>
        <v>Yes</v>
      </c>
    </row>
    <row r="76" customFormat="false" ht="26.85" hidden="false" customHeight="false" outlineLevel="0" collapsed="false">
      <c r="A76" s="12" t="s">
        <v>861</v>
      </c>
      <c r="B76" s="12" t="s">
        <v>862</v>
      </c>
      <c r="C76" s="12" t="n">
        <v>1</v>
      </c>
      <c r="D76" s="12" t="s">
        <v>174</v>
      </c>
      <c r="E76" s="12" t="s">
        <v>117</v>
      </c>
      <c r="F76" s="12" t="str">
        <f aca="false">IF(COUNTIF('Item modifiers'!$C:$C,A76)&gt;0,"Yes","")</f>
        <v/>
      </c>
    </row>
    <row r="77" customFormat="false" ht="26.85" hidden="false" customHeight="false" outlineLevel="0" collapsed="false">
      <c r="A77" s="12" t="s">
        <v>308</v>
      </c>
      <c r="B77" s="12" t="s">
        <v>309</v>
      </c>
      <c r="C77" s="12" t="n">
        <v>1</v>
      </c>
      <c r="D77" s="12" t="s">
        <v>310</v>
      </c>
      <c r="E77" s="12" t="s">
        <v>188</v>
      </c>
      <c r="F77" s="12" t="str">
        <f aca="false">IF(COUNTIF('Item modifiers'!$C:$C,A77)&gt;0,"Yes","")</f>
        <v>Yes</v>
      </c>
    </row>
    <row r="78" customFormat="false" ht="52.2" hidden="false" customHeight="false" outlineLevel="0" collapsed="false">
      <c r="A78" s="12" t="s">
        <v>863</v>
      </c>
      <c r="B78" s="12" t="s">
        <v>864</v>
      </c>
      <c r="C78" s="12" t="n">
        <v>1</v>
      </c>
      <c r="D78" s="12" t="s">
        <v>614</v>
      </c>
      <c r="E78" s="12" t="s">
        <v>349</v>
      </c>
      <c r="F78" s="12" t="str">
        <f aca="false">IF(COUNTIF('Item modifiers'!$C:$C,A78)&gt;0,"Yes","")</f>
        <v/>
      </c>
    </row>
    <row r="79" customFormat="false" ht="15" hidden="false" customHeight="false" outlineLevel="0" collapsed="false">
      <c r="A79" s="12" t="s">
        <v>865</v>
      </c>
      <c r="B79" s="12" t="s">
        <v>866</v>
      </c>
      <c r="C79" s="12" t="n">
        <v>63</v>
      </c>
      <c r="D79" s="12" t="s">
        <v>867</v>
      </c>
      <c r="E79" s="12" t="s">
        <v>462</v>
      </c>
      <c r="F79" s="12" t="str">
        <f aca="false">IF(COUNTIF('Item modifiers'!$C:$C,A79)&gt;0,"Yes","")</f>
        <v/>
      </c>
    </row>
    <row r="80" customFormat="false" ht="39.55" hidden="false" customHeight="false" outlineLevel="0" collapsed="false">
      <c r="A80" s="12" t="s">
        <v>868</v>
      </c>
      <c r="B80" s="12" t="s">
        <v>869</v>
      </c>
      <c r="C80" s="12" t="n">
        <v>63</v>
      </c>
      <c r="D80" s="12" t="s">
        <v>40</v>
      </c>
      <c r="E80" s="12" t="s">
        <v>462</v>
      </c>
      <c r="F80" s="12" t="str">
        <f aca="false">IF(COUNTIF('Item modifiers'!$C:$C,A80)&gt;0,"Yes","")</f>
        <v/>
      </c>
    </row>
    <row r="81" customFormat="false" ht="52.2" hidden="false" customHeight="false" outlineLevel="0" collapsed="false">
      <c r="A81" s="12" t="s">
        <v>346</v>
      </c>
      <c r="B81" s="12" t="s">
        <v>347</v>
      </c>
      <c r="C81" s="12" t="n">
        <v>1</v>
      </c>
      <c r="D81" s="12" t="s">
        <v>348</v>
      </c>
      <c r="E81" s="12" t="s">
        <v>349</v>
      </c>
      <c r="F81" s="12" t="str">
        <f aca="false">IF(COUNTIF('Item modifiers'!$C:$C,A81)&gt;0,"Yes","")</f>
        <v>Yes</v>
      </c>
    </row>
    <row r="82" customFormat="false" ht="26.85" hidden="false" customHeight="false" outlineLevel="0" collapsed="false">
      <c r="A82" s="12" t="s">
        <v>870</v>
      </c>
      <c r="B82" s="12" t="s">
        <v>871</v>
      </c>
      <c r="C82" s="12" t="n">
        <v>1</v>
      </c>
      <c r="D82" s="12" t="s">
        <v>872</v>
      </c>
      <c r="E82" s="12" t="s">
        <v>125</v>
      </c>
      <c r="F82" s="12" t="str">
        <f aca="false">IF(COUNTIF('Item modifiers'!$C:$C,A82)&gt;0,"Yes","")</f>
        <v/>
      </c>
    </row>
    <row r="83" customFormat="false" ht="15" hidden="false" customHeight="false" outlineLevel="0" collapsed="false">
      <c r="A83" s="12" t="s">
        <v>231</v>
      </c>
      <c r="B83" s="12" t="s">
        <v>232</v>
      </c>
      <c r="C83" s="12" t="n">
        <v>75</v>
      </c>
      <c r="D83" s="12" t="s">
        <v>233</v>
      </c>
      <c r="E83" s="12" t="s">
        <v>234</v>
      </c>
      <c r="F83" s="12" t="str">
        <f aca="false">IF(COUNTIF('Item modifiers'!$C:$C,A83)&gt;0,"Yes","")</f>
        <v>Yes</v>
      </c>
    </row>
    <row r="84" customFormat="false" ht="26.85" hidden="false" customHeight="false" outlineLevel="0" collapsed="false">
      <c r="A84" s="12" t="s">
        <v>873</v>
      </c>
      <c r="B84" s="12" t="s">
        <v>874</v>
      </c>
      <c r="C84" s="12" t="n">
        <v>1</v>
      </c>
      <c r="D84" s="12" t="s">
        <v>875</v>
      </c>
      <c r="E84" s="12" t="s">
        <v>85</v>
      </c>
      <c r="F84" s="12" t="str">
        <f aca="false">IF(COUNTIF('Item modifiers'!$C:$C,A84)&gt;0,"Yes","")</f>
        <v/>
      </c>
    </row>
    <row r="85" customFormat="false" ht="26.85" hidden="false" customHeight="false" outlineLevel="0" collapsed="false">
      <c r="A85" s="12" t="s">
        <v>876</v>
      </c>
      <c r="B85" s="12" t="s">
        <v>877</v>
      </c>
      <c r="C85" s="12" t="n">
        <v>1</v>
      </c>
      <c r="D85" s="12" t="s">
        <v>878</v>
      </c>
      <c r="E85" s="12" t="s">
        <v>528</v>
      </c>
      <c r="F85" s="12" t="str">
        <f aca="false">IF(COUNTIF('Item modifiers'!$C:$C,A85)&gt;0,"Yes","")</f>
        <v/>
      </c>
    </row>
    <row r="86" customFormat="false" ht="64.9" hidden="false" customHeight="false" outlineLevel="0" collapsed="false">
      <c r="A86" s="12" t="s">
        <v>879</v>
      </c>
      <c r="B86" s="12" t="s">
        <v>880</v>
      </c>
      <c r="C86" s="12" t="n">
        <v>1</v>
      </c>
      <c r="D86" s="12" t="s">
        <v>881</v>
      </c>
      <c r="E86" s="12" t="s">
        <v>882</v>
      </c>
      <c r="F86" s="12" t="str">
        <f aca="false">IF(COUNTIF('Item modifiers'!$C:$C,A86)&gt;0,"Yes","")</f>
        <v/>
      </c>
    </row>
    <row r="87" customFormat="false" ht="26.85" hidden="false" customHeight="false" outlineLevel="0" collapsed="false">
      <c r="A87" s="12" t="s">
        <v>883</v>
      </c>
      <c r="B87" s="12" t="s">
        <v>884</v>
      </c>
      <c r="C87" s="12" t="n">
        <v>60</v>
      </c>
      <c r="D87" s="12" t="s">
        <v>116</v>
      </c>
      <c r="E87" s="12" t="s">
        <v>208</v>
      </c>
      <c r="F87" s="12" t="str">
        <f aca="false">IF(COUNTIF('Item modifiers'!$C:$C,A87)&gt;0,"Yes","")</f>
        <v/>
      </c>
    </row>
    <row r="88" customFormat="false" ht="26.85" hidden="false" customHeight="false" outlineLevel="0" collapsed="false">
      <c r="A88" s="12" t="s">
        <v>885</v>
      </c>
      <c r="B88" s="12" t="s">
        <v>886</v>
      </c>
      <c r="C88" s="12" t="n">
        <v>56</v>
      </c>
      <c r="D88" s="12" t="s">
        <v>759</v>
      </c>
      <c r="E88" s="12" t="s">
        <v>136</v>
      </c>
      <c r="F88" s="12" t="str">
        <f aca="false">IF(COUNTIF('Item modifiers'!$C:$C,A88)&gt;0,"Yes","")</f>
        <v/>
      </c>
    </row>
    <row r="89" customFormat="false" ht="77.6" hidden="false" customHeight="false" outlineLevel="0" collapsed="false">
      <c r="A89" s="12" t="s">
        <v>418</v>
      </c>
      <c r="B89" s="12" t="s">
        <v>419</v>
      </c>
      <c r="C89" s="12" t="n">
        <v>1</v>
      </c>
      <c r="D89" s="12" t="s">
        <v>420</v>
      </c>
      <c r="E89" s="12" t="s">
        <v>421</v>
      </c>
      <c r="F89" s="12" t="str">
        <f aca="false">IF(COUNTIF('Item modifiers'!$C:$C,A89)&gt;0,"Yes","")</f>
        <v>Yes</v>
      </c>
    </row>
    <row r="90" customFormat="false" ht="26.85" hidden="false" customHeight="false" outlineLevel="0" collapsed="false">
      <c r="A90" s="12" t="s">
        <v>887</v>
      </c>
      <c r="B90" s="12" t="s">
        <v>888</v>
      </c>
      <c r="C90" s="12" t="n">
        <v>1</v>
      </c>
      <c r="D90" s="12" t="s">
        <v>452</v>
      </c>
      <c r="E90" s="12" t="s">
        <v>85</v>
      </c>
      <c r="F90" s="12" t="str">
        <f aca="false">IF(COUNTIF('Item modifiers'!$C:$C,A90)&gt;0,"Yes","")</f>
        <v/>
      </c>
    </row>
    <row r="91" customFormat="false" ht="15" hidden="false" customHeight="false" outlineLevel="0" collapsed="false">
      <c r="A91" s="12" t="s">
        <v>450</v>
      </c>
      <c r="B91" s="12" t="s">
        <v>451</v>
      </c>
      <c r="C91" s="12" t="n">
        <v>30</v>
      </c>
      <c r="D91" s="12" t="s">
        <v>452</v>
      </c>
      <c r="E91" s="12" t="s">
        <v>208</v>
      </c>
      <c r="F91" s="12" t="str">
        <f aca="false">IF(COUNTIF('Item modifiers'!$C:$C,A91)&gt;0,"Yes","")</f>
        <v>Yes</v>
      </c>
    </row>
    <row r="92" customFormat="false" ht="15" hidden="false" customHeight="false" outlineLevel="0" collapsed="false">
      <c r="A92" s="12" t="s">
        <v>889</v>
      </c>
      <c r="B92" s="12" t="s">
        <v>890</v>
      </c>
      <c r="C92" s="12" t="n">
        <v>6</v>
      </c>
      <c r="D92" s="12" t="s">
        <v>629</v>
      </c>
      <c r="E92" s="12" t="s">
        <v>85</v>
      </c>
      <c r="F92" s="12" t="str">
        <f aca="false">IF(COUNTIF('Item modifiers'!$C:$C,A92)&gt;0,"Yes","")</f>
        <v/>
      </c>
    </row>
    <row r="93" customFormat="false" ht="26.85" hidden="false" customHeight="false" outlineLevel="0" collapsed="false">
      <c r="A93" s="12" t="s">
        <v>891</v>
      </c>
      <c r="B93" s="12" t="s">
        <v>892</v>
      </c>
      <c r="C93" s="12" t="n">
        <v>75</v>
      </c>
      <c r="D93" s="12" t="s">
        <v>233</v>
      </c>
      <c r="E93" s="12" t="s">
        <v>144</v>
      </c>
      <c r="F93" s="12" t="str">
        <f aca="false">IF(COUNTIF('Item modifiers'!$C:$C,A93)&gt;0,"Yes","")</f>
        <v/>
      </c>
    </row>
    <row r="94" customFormat="false" ht="52.2" hidden="false" customHeight="false" outlineLevel="0" collapsed="false">
      <c r="A94" s="12" t="s">
        <v>893</v>
      </c>
      <c r="B94" s="12" t="s">
        <v>894</v>
      </c>
      <c r="C94" s="12" t="n">
        <v>1</v>
      </c>
      <c r="D94" s="12" t="s">
        <v>895</v>
      </c>
      <c r="E94" s="12" t="s">
        <v>77</v>
      </c>
      <c r="F94" s="12" t="str">
        <f aca="false">IF(COUNTIF('Item modifiers'!$C:$C,A94)&gt;0,"Yes","")</f>
        <v/>
      </c>
    </row>
    <row r="95" customFormat="false" ht="52.2" hidden="false" customHeight="false" outlineLevel="0" collapsed="false">
      <c r="A95" s="12" t="s">
        <v>896</v>
      </c>
      <c r="B95" s="12" t="s">
        <v>897</v>
      </c>
      <c r="C95" s="12" t="n">
        <v>1</v>
      </c>
      <c r="D95" s="12" t="s">
        <v>898</v>
      </c>
      <c r="E95" s="12" t="s">
        <v>152</v>
      </c>
      <c r="F95" s="12" t="str">
        <f aca="false">IF(COUNTIF('Item modifiers'!$C:$C,A95)&gt;0,"Yes","")</f>
        <v/>
      </c>
    </row>
    <row r="96" customFormat="false" ht="26.85" hidden="false" customHeight="false" outlineLevel="0" collapsed="false">
      <c r="A96" s="12" t="s">
        <v>103</v>
      </c>
      <c r="B96" s="12" t="s">
        <v>104</v>
      </c>
      <c r="C96" s="12" t="n">
        <v>1</v>
      </c>
      <c r="D96" s="12" t="s">
        <v>84</v>
      </c>
      <c r="E96" s="12" t="s">
        <v>85</v>
      </c>
      <c r="F96" s="12" t="str">
        <f aca="false">IF(COUNTIF('Item modifiers'!$C:$C,A96)&gt;0,"Yes","")</f>
        <v>Yes</v>
      </c>
    </row>
    <row r="97" customFormat="false" ht="64.9" hidden="false" customHeight="false" outlineLevel="0" collapsed="false">
      <c r="A97" s="12" t="s">
        <v>224</v>
      </c>
      <c r="B97" s="12" t="s">
        <v>225</v>
      </c>
      <c r="C97" s="12" t="n">
        <v>1</v>
      </c>
      <c r="D97" s="12" t="s">
        <v>226</v>
      </c>
      <c r="E97" s="12" t="s">
        <v>227</v>
      </c>
      <c r="F97" s="12" t="str">
        <f aca="false">IF(COUNTIF('Item modifiers'!$C:$C,A97)&gt;0,"Yes","")</f>
        <v>Yes</v>
      </c>
    </row>
    <row r="98" customFormat="false" ht="39.55" hidden="false" customHeight="false" outlineLevel="0" collapsed="false">
      <c r="A98" s="12" t="s">
        <v>239</v>
      </c>
      <c r="B98" s="12" t="s">
        <v>240</v>
      </c>
      <c r="C98" s="12" t="n">
        <v>60</v>
      </c>
      <c r="D98" s="12" t="s">
        <v>40</v>
      </c>
      <c r="E98" s="12" t="s">
        <v>208</v>
      </c>
      <c r="F98" s="12" t="str">
        <f aca="false">IF(COUNTIF('Item modifiers'!$C:$C,A98)&gt;0,"Yes","")</f>
        <v>Yes</v>
      </c>
    </row>
    <row r="99" customFormat="false" ht="26.85" hidden="false" customHeight="false" outlineLevel="0" collapsed="false">
      <c r="A99" s="12" t="s">
        <v>109</v>
      </c>
      <c r="B99" s="12" t="s">
        <v>110</v>
      </c>
      <c r="C99" s="12" t="n">
        <v>1</v>
      </c>
      <c r="D99" s="12" t="s">
        <v>98</v>
      </c>
      <c r="E99" s="12" t="s">
        <v>85</v>
      </c>
      <c r="F99" s="12" t="str">
        <f aca="false">IF(COUNTIF('Item modifiers'!$C:$C,A99)&gt;0,"Yes","")</f>
        <v>Yes</v>
      </c>
    </row>
    <row r="100" customFormat="false" ht="15" hidden="false" customHeight="false" outlineLevel="0" collapsed="false">
      <c r="A100" s="12" t="s">
        <v>899</v>
      </c>
      <c r="B100" s="12" t="s">
        <v>900</v>
      </c>
      <c r="C100" s="12" t="n">
        <v>1</v>
      </c>
      <c r="D100" s="12" t="s">
        <v>98</v>
      </c>
      <c r="E100" s="12" t="s">
        <v>99</v>
      </c>
      <c r="F100" s="12" t="str">
        <f aca="false">IF(COUNTIF('Item modifiers'!$C:$C,A100)&gt;0,"Yes","")</f>
        <v/>
      </c>
    </row>
    <row r="101" customFormat="false" ht="15" hidden="false" customHeight="false" outlineLevel="0" collapsed="false">
      <c r="A101" s="12" t="s">
        <v>901</v>
      </c>
      <c r="B101" s="12" t="s">
        <v>902</v>
      </c>
      <c r="C101" s="12" t="n">
        <v>1</v>
      </c>
      <c r="D101" s="12" t="s">
        <v>98</v>
      </c>
      <c r="E101" s="12" t="s">
        <v>99</v>
      </c>
      <c r="F101" s="12" t="str">
        <f aca="false">IF(COUNTIF('Item modifiers'!$C:$C,A101)&gt;0,"Yes","")</f>
        <v/>
      </c>
    </row>
    <row r="102" customFormat="false" ht="15" hidden="false" customHeight="false" outlineLevel="0" collapsed="false">
      <c r="A102" s="12" t="s">
        <v>96</v>
      </c>
      <c r="B102" s="12" t="s">
        <v>97</v>
      </c>
      <c r="C102" s="12" t="n">
        <v>1</v>
      </c>
      <c r="D102" s="12" t="s">
        <v>98</v>
      </c>
      <c r="E102" s="12" t="s">
        <v>99</v>
      </c>
      <c r="F102" s="12" t="str">
        <f aca="false">IF(COUNTIF('Item modifiers'!$C:$C,A102)&gt;0,"Yes","")</f>
        <v>Yes</v>
      </c>
    </row>
    <row r="103" customFormat="false" ht="26.85" hidden="false" customHeight="false" outlineLevel="0" collapsed="false">
      <c r="A103" s="12" t="s">
        <v>903</v>
      </c>
      <c r="B103" s="12" t="s">
        <v>904</v>
      </c>
      <c r="C103" s="12" t="n">
        <v>1</v>
      </c>
      <c r="D103" s="12" t="s">
        <v>98</v>
      </c>
      <c r="E103" s="12" t="s">
        <v>99</v>
      </c>
      <c r="F103" s="12" t="str">
        <f aca="false">IF(COUNTIF('Item modifiers'!$C:$C,A103)&gt;0,"Yes","")</f>
        <v/>
      </c>
    </row>
    <row r="104" customFormat="false" ht="26.85" hidden="false" customHeight="false" outlineLevel="0" collapsed="false">
      <c r="A104" s="12" t="s">
        <v>905</v>
      </c>
      <c r="B104" s="12" t="s">
        <v>906</v>
      </c>
      <c r="C104" s="12" t="n">
        <v>1</v>
      </c>
      <c r="D104" s="12" t="s">
        <v>84</v>
      </c>
      <c r="E104" s="12" t="s">
        <v>85</v>
      </c>
      <c r="F104" s="12" t="str">
        <f aca="false">IF(COUNTIF('Item modifiers'!$C:$C,A104)&gt;0,"Yes","")</f>
        <v/>
      </c>
    </row>
    <row r="105" customFormat="false" ht="15" hidden="false" customHeight="false" outlineLevel="0" collapsed="false">
      <c r="A105" s="12" t="s">
        <v>907</v>
      </c>
      <c r="B105" s="12" t="s">
        <v>908</v>
      </c>
      <c r="C105" s="12" t="n">
        <v>1</v>
      </c>
      <c r="D105" s="12" t="s">
        <v>98</v>
      </c>
      <c r="E105" s="12" t="s">
        <v>99</v>
      </c>
      <c r="F105" s="12" t="str">
        <f aca="false">IF(COUNTIF('Item modifiers'!$C:$C,A105)&gt;0,"Yes","")</f>
        <v/>
      </c>
    </row>
    <row r="106" customFormat="false" ht="15" hidden="false" customHeight="false" outlineLevel="0" collapsed="false">
      <c r="A106" s="12" t="s">
        <v>909</v>
      </c>
      <c r="B106" s="12" t="s">
        <v>910</v>
      </c>
      <c r="C106" s="12" t="n">
        <v>1</v>
      </c>
      <c r="D106" s="12" t="s">
        <v>98</v>
      </c>
      <c r="E106" s="12" t="s">
        <v>99</v>
      </c>
      <c r="F106" s="12" t="str">
        <f aca="false">IF(COUNTIF('Item modifiers'!$C:$C,A106)&gt;0,"Yes","")</f>
        <v/>
      </c>
    </row>
    <row r="107" customFormat="false" ht="26.85" hidden="false" customHeight="false" outlineLevel="0" collapsed="false">
      <c r="A107" s="12" t="s">
        <v>911</v>
      </c>
      <c r="B107" s="12" t="s">
        <v>912</v>
      </c>
      <c r="C107" s="12" t="n">
        <v>1</v>
      </c>
      <c r="D107" s="12" t="s">
        <v>84</v>
      </c>
      <c r="E107" s="12" t="s">
        <v>85</v>
      </c>
      <c r="F107" s="12" t="str">
        <f aca="false">IF(COUNTIF('Item modifiers'!$C:$C,A107)&gt;0,"Yes","")</f>
        <v/>
      </c>
    </row>
    <row r="108" customFormat="false" ht="26.85" hidden="false" customHeight="false" outlineLevel="0" collapsed="false">
      <c r="A108" s="12" t="s">
        <v>564</v>
      </c>
      <c r="B108" s="12" t="s">
        <v>565</v>
      </c>
      <c r="C108" s="12" t="n">
        <v>1</v>
      </c>
      <c r="D108" s="12" t="s">
        <v>566</v>
      </c>
      <c r="E108" s="12" t="s">
        <v>567</v>
      </c>
      <c r="F108" s="12" t="str">
        <f aca="false">IF(COUNTIF('Item modifiers'!$C:$C,A108)&gt;0,"Yes","")</f>
        <v>Yes</v>
      </c>
    </row>
    <row r="109" customFormat="false" ht="39.55" hidden="false" customHeight="false" outlineLevel="0" collapsed="false">
      <c r="A109" s="12" t="s">
        <v>375</v>
      </c>
      <c r="B109" s="12" t="s">
        <v>376</v>
      </c>
      <c r="C109" s="12" t="n">
        <v>55</v>
      </c>
      <c r="D109" s="12" t="s">
        <v>377</v>
      </c>
      <c r="E109" s="12" t="s">
        <v>136</v>
      </c>
      <c r="F109" s="12" t="str">
        <f aca="false">IF(COUNTIF('Item modifiers'!$C:$C,A109)&gt;0,"Yes","")</f>
        <v>Yes</v>
      </c>
    </row>
    <row r="110" customFormat="false" ht="15" hidden="false" customHeight="false" outlineLevel="0" collapsed="false">
      <c r="A110" s="12" t="s">
        <v>913</v>
      </c>
      <c r="B110" s="12" t="s">
        <v>914</v>
      </c>
      <c r="C110" s="12" t="n">
        <v>75</v>
      </c>
      <c r="D110" s="12" t="s">
        <v>116</v>
      </c>
      <c r="E110" s="12" t="s">
        <v>144</v>
      </c>
      <c r="F110" s="12" t="str">
        <f aca="false">IF(COUNTIF('Item modifiers'!$C:$C,A110)&gt;0,"Yes","")</f>
        <v/>
      </c>
    </row>
    <row r="111" customFormat="false" ht="26.85" hidden="false" customHeight="false" outlineLevel="0" collapsed="false">
      <c r="A111" s="12" t="s">
        <v>915</v>
      </c>
      <c r="B111" s="12" t="s">
        <v>916</v>
      </c>
      <c r="C111" s="12" t="n">
        <v>1</v>
      </c>
      <c r="D111" s="12" t="s">
        <v>629</v>
      </c>
      <c r="E111" s="12" t="s">
        <v>85</v>
      </c>
      <c r="F111" s="12" t="str">
        <f aca="false">IF(COUNTIF('Item modifiers'!$C:$C,A111)&gt;0,"Yes","")</f>
        <v/>
      </c>
    </row>
    <row r="112" customFormat="false" ht="26.85" hidden="false" customHeight="false" outlineLevel="0" collapsed="false">
      <c r="A112" s="12" t="s">
        <v>402</v>
      </c>
      <c r="B112" s="12" t="s">
        <v>403</v>
      </c>
      <c r="C112" s="12" t="n">
        <v>1</v>
      </c>
      <c r="D112" s="12" t="s">
        <v>404</v>
      </c>
      <c r="E112" s="12" t="s">
        <v>99</v>
      </c>
      <c r="F112" s="12" t="str">
        <f aca="false">IF(COUNTIF('Item modifiers'!$C:$C,A112)&gt;0,"Yes","")</f>
        <v>Yes</v>
      </c>
    </row>
    <row r="113" customFormat="false" ht="26.85" hidden="false" customHeight="false" outlineLevel="0" collapsed="false">
      <c r="A113" s="12" t="s">
        <v>917</v>
      </c>
      <c r="B113" s="12" t="s">
        <v>918</v>
      </c>
      <c r="C113" s="12" t="n">
        <v>2</v>
      </c>
      <c r="D113" s="12" t="s">
        <v>867</v>
      </c>
      <c r="E113" s="12" t="s">
        <v>919</v>
      </c>
      <c r="F113" s="12" t="str">
        <f aca="false">IF(COUNTIF('Item modifiers'!$C:$C,A113)&gt;0,"Yes","")</f>
        <v/>
      </c>
    </row>
    <row r="114" customFormat="false" ht="15" hidden="false" customHeight="false" outlineLevel="0" collapsed="false">
      <c r="A114" s="12" t="s">
        <v>920</v>
      </c>
      <c r="B114" s="12" t="s">
        <v>921</v>
      </c>
      <c r="C114" s="12" t="n">
        <v>3</v>
      </c>
      <c r="D114" s="12" t="s">
        <v>780</v>
      </c>
      <c r="E114" s="12" t="s">
        <v>85</v>
      </c>
      <c r="F114" s="12" t="str">
        <f aca="false">IF(COUNTIF('Item modifiers'!$C:$C,A114)&gt;0,"Yes","")</f>
        <v/>
      </c>
    </row>
    <row r="115" customFormat="false" ht="26.85" hidden="false" customHeight="false" outlineLevel="0" collapsed="false">
      <c r="A115" s="12" t="s">
        <v>922</v>
      </c>
      <c r="B115" s="12" t="s">
        <v>923</v>
      </c>
      <c r="C115" s="12" t="n">
        <v>20</v>
      </c>
      <c r="D115" s="12" t="s">
        <v>629</v>
      </c>
      <c r="E115" s="12" t="s">
        <v>85</v>
      </c>
      <c r="F115" s="12" t="str">
        <f aca="false">IF(COUNTIF('Item modifiers'!$C:$C,A115)&gt;0,"Yes","")</f>
        <v/>
      </c>
    </row>
    <row r="116" customFormat="false" ht="26.85" hidden="false" customHeight="false" outlineLevel="0" collapsed="false">
      <c r="A116" s="12" t="s">
        <v>924</v>
      </c>
      <c r="B116" s="12" t="s">
        <v>925</v>
      </c>
      <c r="C116" s="12" t="n">
        <v>0</v>
      </c>
      <c r="D116" s="12" t="s">
        <v>629</v>
      </c>
      <c r="E116" s="12" t="s">
        <v>630</v>
      </c>
      <c r="F116" s="12" t="str">
        <f aca="false">IF(COUNTIF('Item modifiers'!$C:$C,A116)&gt;0,"Yes","")</f>
        <v/>
      </c>
    </row>
    <row r="117" customFormat="false" ht="26.85" hidden="false" customHeight="false" outlineLevel="0" collapsed="false">
      <c r="A117" s="12" t="s">
        <v>926</v>
      </c>
      <c r="B117" s="12" t="s">
        <v>927</v>
      </c>
      <c r="C117" s="12" t="n">
        <v>10</v>
      </c>
      <c r="D117" s="12" t="s">
        <v>875</v>
      </c>
      <c r="E117" s="12" t="s">
        <v>85</v>
      </c>
      <c r="F117" s="12" t="str">
        <f aca="false">IF(COUNTIF('Item modifiers'!$C:$C,A117)&gt;0,"Yes","")</f>
        <v/>
      </c>
    </row>
    <row r="118" customFormat="false" ht="26.85" hidden="false" customHeight="false" outlineLevel="0" collapsed="false">
      <c r="A118" s="12" t="s">
        <v>300</v>
      </c>
      <c r="B118" s="12" t="s">
        <v>301</v>
      </c>
      <c r="C118" s="12" t="n">
        <v>1</v>
      </c>
      <c r="D118" s="12" t="s">
        <v>302</v>
      </c>
      <c r="E118" s="12" t="s">
        <v>303</v>
      </c>
      <c r="F118" s="12" t="str">
        <f aca="false">IF(COUNTIF('Item modifiers'!$C:$C,A118)&gt;0,"Yes","")</f>
        <v>Yes</v>
      </c>
    </row>
    <row r="119" customFormat="false" ht="26.85" hidden="false" customHeight="false" outlineLevel="0" collapsed="false">
      <c r="A119" s="12" t="s">
        <v>928</v>
      </c>
      <c r="B119" s="12" t="s">
        <v>929</v>
      </c>
      <c r="C119" s="12" t="n">
        <v>75</v>
      </c>
      <c r="D119" s="12" t="s">
        <v>233</v>
      </c>
      <c r="E119" s="12" t="s">
        <v>144</v>
      </c>
      <c r="F119" s="12" t="str">
        <f aca="false">IF(COUNTIF('Item modifiers'!$C:$C,A119)&gt;0,"Yes","")</f>
        <v/>
      </c>
    </row>
    <row r="120" customFormat="false" ht="39.55" hidden="false" customHeight="false" outlineLevel="0" collapsed="false">
      <c r="A120" s="12" t="s">
        <v>179</v>
      </c>
      <c r="B120" s="12" t="s">
        <v>180</v>
      </c>
      <c r="C120" s="12" t="n">
        <v>1</v>
      </c>
      <c r="D120" s="12" t="s">
        <v>40</v>
      </c>
      <c r="E120" s="12" t="s">
        <v>181</v>
      </c>
      <c r="F120" s="12" t="str">
        <f aca="false">IF(COUNTIF('Item modifiers'!$C:$C,A120)&gt;0,"Yes","")</f>
        <v>Yes</v>
      </c>
    </row>
    <row r="121" customFormat="false" ht="26.85" hidden="false" customHeight="false" outlineLevel="0" collapsed="false">
      <c r="A121" s="12" t="s">
        <v>930</v>
      </c>
      <c r="B121" s="12" t="s">
        <v>931</v>
      </c>
      <c r="C121" s="12" t="n">
        <v>18</v>
      </c>
      <c r="D121" s="12" t="s">
        <v>629</v>
      </c>
      <c r="E121" s="12" t="s">
        <v>85</v>
      </c>
      <c r="F121" s="12" t="str">
        <f aca="false">IF(COUNTIF('Item modifiers'!$C:$C,A121)&gt;0,"Yes","")</f>
        <v/>
      </c>
    </row>
    <row r="122" customFormat="false" ht="15" hidden="false" customHeight="false" outlineLevel="0" collapsed="false">
      <c r="A122" s="12" t="s">
        <v>932</v>
      </c>
      <c r="B122" s="12" t="s">
        <v>933</v>
      </c>
      <c r="C122" s="12" t="n">
        <v>75</v>
      </c>
      <c r="D122" s="12" t="s">
        <v>76</v>
      </c>
      <c r="E122" s="12" t="s">
        <v>289</v>
      </c>
      <c r="F122" s="12" t="str">
        <f aca="false">IF(COUNTIF('Item modifiers'!$C:$C,A122)&gt;0,"Yes","")</f>
        <v/>
      </c>
    </row>
    <row r="123" customFormat="false" ht="26.85" hidden="false" customHeight="false" outlineLevel="0" collapsed="false">
      <c r="A123" s="12" t="s">
        <v>934</v>
      </c>
      <c r="B123" s="12" t="s">
        <v>935</v>
      </c>
      <c r="C123" s="12" t="n">
        <v>1</v>
      </c>
      <c r="D123" s="12" t="s">
        <v>84</v>
      </c>
      <c r="E123" s="12" t="s">
        <v>85</v>
      </c>
      <c r="F123" s="12" t="str">
        <f aca="false">IF(COUNTIF('Item modifiers'!$C:$C,A123)&gt;0,"Yes","")</f>
        <v/>
      </c>
    </row>
    <row r="124" customFormat="false" ht="26.85" hidden="false" customHeight="false" outlineLevel="0" collapsed="false">
      <c r="A124" s="12" t="s">
        <v>936</v>
      </c>
      <c r="B124" s="12" t="s">
        <v>937</v>
      </c>
      <c r="C124" s="12" t="n">
        <v>1</v>
      </c>
      <c r="D124" s="12" t="s">
        <v>84</v>
      </c>
      <c r="E124" s="12" t="s">
        <v>85</v>
      </c>
      <c r="F124" s="12" t="str">
        <f aca="false">IF(COUNTIF('Item modifiers'!$C:$C,A124)&gt;0,"Yes","")</f>
        <v/>
      </c>
    </row>
    <row r="125" customFormat="false" ht="64.9" hidden="false" customHeight="false" outlineLevel="0" collapsed="false">
      <c r="A125" s="12" t="s">
        <v>53</v>
      </c>
      <c r="B125" s="12" t="s">
        <v>54</v>
      </c>
      <c r="C125" s="12" t="n">
        <v>1</v>
      </c>
      <c r="D125" s="12" t="s">
        <v>55</v>
      </c>
      <c r="E125" s="12" t="s">
        <v>41</v>
      </c>
      <c r="F125" s="12" t="str">
        <f aca="false">IF(COUNTIF('Item modifiers'!$C:$C,A125)&gt;0,"Yes","")</f>
        <v>Yes</v>
      </c>
    </row>
    <row r="126" customFormat="false" ht="15" hidden="false" customHeight="false" outlineLevel="0" collapsed="false">
      <c r="A126" s="12" t="s">
        <v>149</v>
      </c>
      <c r="B126" s="12" t="s">
        <v>150</v>
      </c>
      <c r="C126" s="12" t="n">
        <v>60</v>
      </c>
      <c r="D126" s="12" t="s">
        <v>151</v>
      </c>
      <c r="E126" s="12" t="s">
        <v>152</v>
      </c>
      <c r="F126" s="12" t="str">
        <f aca="false">IF(COUNTIF('Item modifiers'!$C:$C,A126)&gt;0,"Yes","")</f>
        <v>Yes</v>
      </c>
    </row>
    <row r="127" customFormat="false" ht="52.2" hidden="false" customHeight="false" outlineLevel="0" collapsed="false">
      <c r="A127" s="12" t="s">
        <v>938</v>
      </c>
      <c r="B127" s="12" t="s">
        <v>939</v>
      </c>
      <c r="C127" s="12" t="n">
        <v>1</v>
      </c>
      <c r="D127" s="12" t="s">
        <v>366</v>
      </c>
      <c r="E127" s="12" t="s">
        <v>41</v>
      </c>
      <c r="F127" s="12" t="str">
        <f aca="false">IF(COUNTIF('Item modifiers'!$C:$C,A127)&gt;0,"Yes","")</f>
        <v/>
      </c>
    </row>
    <row r="128" customFormat="false" ht="15" hidden="false" customHeight="false" outlineLevel="0" collapsed="false">
      <c r="A128" s="12" t="s">
        <v>940</v>
      </c>
      <c r="B128" s="12" t="s">
        <v>941</v>
      </c>
      <c r="C128" s="12" t="n">
        <v>60</v>
      </c>
      <c r="D128" s="12" t="s">
        <v>76</v>
      </c>
      <c r="E128" s="12" t="s">
        <v>77</v>
      </c>
      <c r="F128" s="12" t="str">
        <f aca="false">IF(COUNTIF('Item modifiers'!$C:$C,A128)&gt;0,"Yes","")</f>
        <v/>
      </c>
    </row>
    <row r="129" customFormat="false" ht="15" hidden="false" customHeight="false" outlineLevel="0" collapsed="false">
      <c r="A129" s="12" t="s">
        <v>942</v>
      </c>
      <c r="B129" s="12" t="s">
        <v>943</v>
      </c>
      <c r="C129" s="12" t="n">
        <v>60</v>
      </c>
      <c r="D129" s="12" t="s">
        <v>76</v>
      </c>
      <c r="E129" s="12" t="s">
        <v>77</v>
      </c>
      <c r="F129" s="12" t="str">
        <f aca="false">IF(COUNTIF('Item modifiers'!$C:$C,A129)&gt;0,"Yes","")</f>
        <v/>
      </c>
    </row>
    <row r="130" customFormat="false" ht="15" hidden="false" customHeight="false" outlineLevel="0" collapsed="false">
      <c r="A130" s="12" t="s">
        <v>74</v>
      </c>
      <c r="B130" s="12" t="s">
        <v>75</v>
      </c>
      <c r="C130" s="12" t="n">
        <v>60</v>
      </c>
      <c r="D130" s="12" t="s">
        <v>76</v>
      </c>
      <c r="E130" s="12" t="s">
        <v>77</v>
      </c>
      <c r="F130" s="12" t="str">
        <f aca="false">IF(COUNTIF('Item modifiers'!$C:$C,A130)&gt;0,"Yes","")</f>
        <v>Yes</v>
      </c>
    </row>
    <row r="131" customFormat="false" ht="52.2" hidden="false" customHeight="false" outlineLevel="0" collapsed="false">
      <c r="A131" s="12" t="s">
        <v>944</v>
      </c>
      <c r="B131" s="12" t="s">
        <v>945</v>
      </c>
      <c r="C131" s="12" t="n">
        <v>40</v>
      </c>
      <c r="D131" s="12" t="s">
        <v>946</v>
      </c>
      <c r="E131" s="12" t="s">
        <v>318</v>
      </c>
      <c r="F131" s="12" t="str">
        <f aca="false">IF(COUNTIF('Item modifiers'!$C:$C,A131)&gt;0,"Yes","")</f>
        <v/>
      </c>
    </row>
    <row r="132" customFormat="false" ht="52.2" hidden="false" customHeight="false" outlineLevel="0" collapsed="false">
      <c r="A132" s="12" t="s">
        <v>327</v>
      </c>
      <c r="B132" s="12" t="s">
        <v>328</v>
      </c>
      <c r="C132" s="12" t="n">
        <v>40</v>
      </c>
      <c r="D132" s="12" t="s">
        <v>329</v>
      </c>
      <c r="E132" s="12" t="s">
        <v>318</v>
      </c>
      <c r="F132" s="12" t="str">
        <f aca="false">IF(COUNTIF('Item modifiers'!$C:$C,A132)&gt;0,"Yes","")</f>
        <v>Yes</v>
      </c>
    </row>
    <row r="133" customFormat="false" ht="52.2" hidden="false" customHeight="false" outlineLevel="0" collapsed="false">
      <c r="A133" s="12" t="s">
        <v>315</v>
      </c>
      <c r="B133" s="12" t="s">
        <v>316</v>
      </c>
      <c r="C133" s="12" t="n">
        <v>40</v>
      </c>
      <c r="D133" s="12" t="s">
        <v>317</v>
      </c>
      <c r="E133" s="12" t="s">
        <v>318</v>
      </c>
      <c r="F133" s="12" t="str">
        <f aca="false">IF(COUNTIF('Item modifiers'!$C:$C,A133)&gt;0,"Yes","")</f>
        <v>Yes</v>
      </c>
    </row>
    <row r="134" customFormat="false" ht="26.85" hidden="false" customHeight="false" outlineLevel="0" collapsed="false">
      <c r="A134" s="12" t="s">
        <v>947</v>
      </c>
      <c r="B134" s="12" t="s">
        <v>948</v>
      </c>
      <c r="C134" s="12" t="n">
        <v>1</v>
      </c>
      <c r="D134" s="12" t="s">
        <v>949</v>
      </c>
      <c r="E134" s="12" t="s">
        <v>470</v>
      </c>
      <c r="F134" s="12" t="str">
        <f aca="false">IF(COUNTIF('Item modifiers'!$C:$C,A134)&gt;0,"Yes","")</f>
        <v/>
      </c>
    </row>
    <row r="135" customFormat="false" ht="15" hidden="false" customHeight="false" outlineLevel="0" collapsed="false">
      <c r="A135" s="12" t="s">
        <v>950</v>
      </c>
      <c r="B135" s="12" t="s">
        <v>951</v>
      </c>
      <c r="C135" s="12" t="n">
        <v>1</v>
      </c>
      <c r="D135" s="12" t="s">
        <v>84</v>
      </c>
      <c r="E135" s="12" t="s">
        <v>85</v>
      </c>
      <c r="F135" s="12" t="str">
        <f aca="false">IF(COUNTIF('Item modifiers'!$C:$C,A135)&gt;0,"Yes","")</f>
        <v/>
      </c>
    </row>
    <row r="136" customFormat="false" ht="52.2" hidden="false" customHeight="false" outlineLevel="0" collapsed="false">
      <c r="A136" s="12" t="s">
        <v>364</v>
      </c>
      <c r="B136" s="12" t="s">
        <v>365</v>
      </c>
      <c r="C136" s="12" t="n">
        <v>1</v>
      </c>
      <c r="D136" s="12" t="s">
        <v>366</v>
      </c>
      <c r="E136" s="12" t="s">
        <v>99</v>
      </c>
      <c r="F136" s="12" t="str">
        <f aca="false">IF(COUNTIF('Item modifiers'!$C:$C,A136)&gt;0,"Yes","")</f>
        <v>Yes</v>
      </c>
    </row>
    <row r="137" customFormat="false" ht="15" hidden="false" customHeight="false" outlineLevel="0" collapsed="false">
      <c r="A137" s="12" t="s">
        <v>952</v>
      </c>
      <c r="B137" s="12" t="s">
        <v>953</v>
      </c>
      <c r="C137" s="12" t="n">
        <v>1</v>
      </c>
      <c r="D137" s="12" t="s">
        <v>954</v>
      </c>
      <c r="E137" s="12" t="s">
        <v>85</v>
      </c>
      <c r="F137" s="12" t="str">
        <f aca="false">IF(COUNTIF('Item modifiers'!$C:$C,A137)&gt;0,"Yes","")</f>
        <v/>
      </c>
    </row>
    <row r="138" customFormat="false" ht="15" hidden="false" customHeight="false" outlineLevel="0" collapsed="false">
      <c r="A138" s="12" t="s">
        <v>955</v>
      </c>
      <c r="B138" s="12" t="s">
        <v>956</v>
      </c>
      <c r="C138" s="12" t="n">
        <v>1</v>
      </c>
      <c r="D138" s="12" t="s">
        <v>954</v>
      </c>
      <c r="E138" s="12" t="s">
        <v>85</v>
      </c>
      <c r="F138" s="12" t="str">
        <f aca="false">IF(COUNTIF('Item modifiers'!$C:$C,A138)&gt;0,"Yes","")</f>
        <v/>
      </c>
    </row>
    <row r="139" customFormat="false" ht="15" hidden="false" customHeight="false" outlineLevel="0" collapsed="false">
      <c r="A139" s="12" t="s">
        <v>957</v>
      </c>
      <c r="B139" s="12" t="s">
        <v>958</v>
      </c>
      <c r="C139" s="12" t="n">
        <v>1</v>
      </c>
      <c r="D139" s="12" t="s">
        <v>959</v>
      </c>
      <c r="E139" s="12" t="s">
        <v>85</v>
      </c>
      <c r="F139" s="12" t="str">
        <f aca="false">IF(COUNTIF('Item modifiers'!$C:$C,A139)&gt;0,"Yes","")</f>
        <v/>
      </c>
    </row>
    <row r="140" customFormat="false" ht="26.85" hidden="false" customHeight="false" outlineLevel="0" collapsed="false">
      <c r="A140" s="12" t="s">
        <v>960</v>
      </c>
      <c r="B140" s="12" t="s">
        <v>961</v>
      </c>
      <c r="C140" s="12" t="n">
        <v>1</v>
      </c>
      <c r="D140" s="12" t="s">
        <v>84</v>
      </c>
      <c r="E140" s="12" t="s">
        <v>85</v>
      </c>
      <c r="F140" s="12" t="str">
        <f aca="false">IF(COUNTIF('Item modifiers'!$C:$C,A140)&gt;0,"Yes","")</f>
        <v/>
      </c>
    </row>
    <row r="141" customFormat="false" ht="64.9" hidden="false" customHeight="false" outlineLevel="0" collapsed="false">
      <c r="A141" s="12" t="s">
        <v>395</v>
      </c>
      <c r="B141" s="12" t="s">
        <v>396</v>
      </c>
      <c r="C141" s="12" t="n">
        <v>1</v>
      </c>
      <c r="D141" s="12" t="s">
        <v>397</v>
      </c>
      <c r="E141" s="12" t="s">
        <v>99</v>
      </c>
      <c r="F141" s="12" t="str">
        <f aca="false">IF(COUNTIF('Item modifiers'!$C:$C,A141)&gt;0,"Yes","")</f>
        <v>Yes</v>
      </c>
    </row>
    <row r="142" customFormat="false" ht="15" hidden="false" customHeight="false" outlineLevel="0" collapsed="false">
      <c r="A142" s="12" t="s">
        <v>962</v>
      </c>
      <c r="B142" s="12" t="s">
        <v>963</v>
      </c>
      <c r="C142" s="12" t="n">
        <v>1</v>
      </c>
      <c r="D142" s="12" t="s">
        <v>959</v>
      </c>
      <c r="E142" s="12" t="s">
        <v>85</v>
      </c>
      <c r="F142" s="12" t="str">
        <f aca="false">IF(COUNTIF('Item modifiers'!$C:$C,A142)&gt;0,"Yes","")</f>
        <v/>
      </c>
    </row>
    <row r="143" customFormat="false" ht="15" hidden="false" customHeight="false" outlineLevel="0" collapsed="false">
      <c r="A143" s="12" t="s">
        <v>90</v>
      </c>
      <c r="B143" s="12" t="s">
        <v>91</v>
      </c>
      <c r="C143" s="12" t="n">
        <v>1</v>
      </c>
      <c r="D143" s="12" t="s">
        <v>84</v>
      </c>
      <c r="E143" s="12" t="s">
        <v>85</v>
      </c>
      <c r="F143" s="12" t="str">
        <f aca="false">IF(COUNTIF('Item modifiers'!$C:$C,A143)&gt;0,"Yes","")</f>
        <v>Yes</v>
      </c>
    </row>
    <row r="144" customFormat="false" ht="26.85" hidden="false" customHeight="false" outlineLevel="0" collapsed="false">
      <c r="A144" s="12" t="s">
        <v>82</v>
      </c>
      <c r="B144" s="12" t="s">
        <v>83</v>
      </c>
      <c r="C144" s="12" t="n">
        <v>1</v>
      </c>
      <c r="D144" s="12" t="s">
        <v>84</v>
      </c>
      <c r="E144" s="12" t="s">
        <v>85</v>
      </c>
      <c r="F144" s="12" t="str">
        <f aca="false">IF(COUNTIF('Item modifiers'!$C:$C,A144)&gt;0,"Yes","")</f>
        <v>Yes</v>
      </c>
    </row>
    <row r="145" customFormat="false" ht="15" hidden="false" customHeight="false" outlineLevel="0" collapsed="false">
      <c r="A145" s="12" t="s">
        <v>964</v>
      </c>
      <c r="B145" s="12" t="s">
        <v>965</v>
      </c>
      <c r="C145" s="12" t="n">
        <v>1</v>
      </c>
      <c r="D145" s="12" t="s">
        <v>966</v>
      </c>
      <c r="E145" s="12" t="s">
        <v>349</v>
      </c>
      <c r="F145" s="12" t="str">
        <f aca="false">IF(COUNTIF('Item modifiers'!$C:$C,A145)&gt;0,"Yes","")</f>
        <v/>
      </c>
    </row>
    <row r="146" customFormat="false" ht="26.85" hidden="false" customHeight="false" outlineLevel="0" collapsed="false">
      <c r="A146" s="12" t="s">
        <v>967</v>
      </c>
      <c r="B146" s="12" t="s">
        <v>968</v>
      </c>
      <c r="C146" s="12" t="n">
        <v>1</v>
      </c>
      <c r="D146" s="12" t="s">
        <v>969</v>
      </c>
      <c r="E146" s="12" t="s">
        <v>125</v>
      </c>
      <c r="F146" s="12" t="str">
        <f aca="false">IF(COUNTIF('Item modifiers'!$C:$C,A146)&gt;0,"Yes","")</f>
        <v/>
      </c>
    </row>
    <row r="147" customFormat="false" ht="15" hidden="false" customHeight="false" outlineLevel="0" collapsed="false">
      <c r="A147" s="12" t="s">
        <v>970</v>
      </c>
      <c r="B147" s="12" t="s">
        <v>971</v>
      </c>
      <c r="C147" s="12" t="n">
        <v>20</v>
      </c>
      <c r="D147" s="12" t="s">
        <v>629</v>
      </c>
      <c r="E147" s="12" t="s">
        <v>85</v>
      </c>
      <c r="F147" s="12" t="str">
        <f aca="false">IF(COUNTIF('Item modifiers'!$C:$C,A147)&gt;0,"Yes","")</f>
        <v/>
      </c>
    </row>
    <row r="148" customFormat="false" ht="26.85" hidden="false" customHeight="false" outlineLevel="0" collapsed="false">
      <c r="A148" s="12" t="s">
        <v>972</v>
      </c>
      <c r="B148" s="12" t="s">
        <v>973</v>
      </c>
      <c r="C148" s="12" t="n">
        <v>0</v>
      </c>
      <c r="D148" s="12" t="s">
        <v>629</v>
      </c>
      <c r="E148" s="12" t="s">
        <v>630</v>
      </c>
      <c r="F148" s="12" t="str">
        <f aca="false">IF(COUNTIF('Item modifiers'!$C:$C,A148)&gt;0,"Yes","")</f>
        <v/>
      </c>
    </row>
    <row r="149" customFormat="false" ht="26.85" hidden="false" customHeight="false" outlineLevel="0" collapsed="false">
      <c r="A149" s="12" t="s">
        <v>974</v>
      </c>
      <c r="B149" s="12" t="s">
        <v>975</v>
      </c>
      <c r="C149" s="12" t="n">
        <v>63</v>
      </c>
      <c r="D149" s="12" t="s">
        <v>220</v>
      </c>
      <c r="E149" s="12" t="s">
        <v>462</v>
      </c>
      <c r="F149" s="12" t="str">
        <f aca="false">IF(COUNTIF('Item modifiers'!$C:$C,A149)&gt;0,"Yes","")</f>
        <v/>
      </c>
    </row>
    <row r="150" customFormat="false" ht="26.85" hidden="false" customHeight="false" outlineLevel="0" collapsed="false">
      <c r="A150" s="12" t="s">
        <v>976</v>
      </c>
      <c r="B150" s="12" t="s">
        <v>977</v>
      </c>
      <c r="C150" s="12" t="n">
        <v>45</v>
      </c>
      <c r="D150" s="12" t="s">
        <v>978</v>
      </c>
      <c r="E150" s="12" t="s">
        <v>979</v>
      </c>
      <c r="F150" s="12" t="str">
        <f aca="false">IF(COUNTIF('Item modifiers'!$C:$C,A150)&gt;0,"Yes","")</f>
        <v/>
      </c>
    </row>
    <row r="151" customFormat="false" ht="39.55" hidden="false" customHeight="false" outlineLevel="0" collapsed="false">
      <c r="A151" s="12" t="s">
        <v>537</v>
      </c>
      <c r="B151" s="12" t="s">
        <v>538</v>
      </c>
      <c r="C151" s="12" t="n">
        <v>1</v>
      </c>
      <c r="D151" s="12" t="s">
        <v>539</v>
      </c>
      <c r="E151" s="12" t="s">
        <v>540</v>
      </c>
      <c r="F151" s="12" t="str">
        <f aca="false">IF(COUNTIF('Item modifiers'!$C:$C,A151)&gt;0,"Yes","")</f>
        <v>Yes</v>
      </c>
    </row>
    <row r="152" customFormat="false" ht="39.55" hidden="false" customHeight="false" outlineLevel="0" collapsed="false">
      <c r="A152" s="12" t="s">
        <v>266</v>
      </c>
      <c r="B152" s="12" t="s">
        <v>267</v>
      </c>
      <c r="C152" s="12" t="n">
        <v>68</v>
      </c>
      <c r="D152" s="12" t="s">
        <v>268</v>
      </c>
      <c r="E152" s="12" t="s">
        <v>269</v>
      </c>
      <c r="F152" s="12" t="str">
        <f aca="false">IF(COUNTIF('Item modifiers'!$C:$C,A152)&gt;0,"Yes","")</f>
        <v>Yes</v>
      </c>
    </row>
    <row r="153" customFormat="false" ht="26.85" hidden="false" customHeight="false" outlineLevel="0" collapsed="false">
      <c r="A153" s="12" t="s">
        <v>980</v>
      </c>
      <c r="B153" s="12" t="s">
        <v>981</v>
      </c>
      <c r="C153" s="12" t="n">
        <v>45</v>
      </c>
      <c r="D153" s="12" t="s">
        <v>233</v>
      </c>
      <c r="E153" s="12" t="s">
        <v>979</v>
      </c>
      <c r="F153" s="12" t="str">
        <f aca="false">IF(COUNTIF('Item modifiers'!$C:$C,A153)&gt;0,"Yes","")</f>
        <v/>
      </c>
    </row>
    <row r="154" customFormat="false" ht="52.2" hidden="false" customHeight="false" outlineLevel="0" collapsed="false">
      <c r="A154" s="12" t="s">
        <v>982</v>
      </c>
      <c r="B154" s="12" t="s">
        <v>983</v>
      </c>
      <c r="C154" s="12" t="n">
        <v>45</v>
      </c>
      <c r="D154" s="12" t="s">
        <v>984</v>
      </c>
      <c r="E154" s="12" t="s">
        <v>136</v>
      </c>
      <c r="F154" s="12" t="str">
        <f aca="false">IF(COUNTIF('Item modifiers'!$C:$C,A154)&gt;0,"Yes","")</f>
        <v/>
      </c>
    </row>
    <row r="155" customFormat="false" ht="77.6" hidden="false" customHeight="false" outlineLevel="0" collapsed="false">
      <c r="A155" s="12" t="s">
        <v>432</v>
      </c>
      <c r="B155" s="12" t="s">
        <v>433</v>
      </c>
      <c r="C155" s="12" t="n">
        <v>1</v>
      </c>
      <c r="D155" s="12" t="s">
        <v>420</v>
      </c>
      <c r="E155" s="12" t="s">
        <v>421</v>
      </c>
      <c r="F155" s="12" t="str">
        <f aca="false">IF(COUNTIF('Item modifiers'!$C:$C,A155)&gt;0,"Yes","")</f>
        <v>Yes</v>
      </c>
    </row>
    <row r="156" customFormat="false" ht="26.85" hidden="false" customHeight="false" outlineLevel="0" collapsed="false">
      <c r="A156" s="12" t="s">
        <v>985</v>
      </c>
      <c r="B156" s="12" t="s">
        <v>986</v>
      </c>
      <c r="C156" s="12" t="n">
        <v>2</v>
      </c>
      <c r="D156" s="12" t="s">
        <v>452</v>
      </c>
      <c r="E156" s="12" t="s">
        <v>85</v>
      </c>
      <c r="F156" s="12" t="str">
        <f aca="false">IF(COUNTIF('Item modifiers'!$C:$C,A156)&gt;0,"Yes","")</f>
        <v/>
      </c>
    </row>
    <row r="157" customFormat="false" ht="15" hidden="false" customHeight="false" outlineLevel="0" collapsed="false">
      <c r="A157" s="12" t="s">
        <v>987</v>
      </c>
      <c r="B157" s="12" t="s">
        <v>988</v>
      </c>
      <c r="C157" s="12" t="n">
        <v>6</v>
      </c>
      <c r="D157" s="12" t="s">
        <v>629</v>
      </c>
      <c r="E157" s="12" t="s">
        <v>85</v>
      </c>
      <c r="F157" s="12" t="str">
        <f aca="false">IF(COUNTIF('Item modifiers'!$C:$C,A157)&gt;0,"Yes","")</f>
        <v/>
      </c>
    </row>
    <row r="158" customFormat="false" ht="26.85" hidden="false" customHeight="false" outlineLevel="0" collapsed="false">
      <c r="A158" s="12" t="s">
        <v>989</v>
      </c>
      <c r="B158" s="12" t="s">
        <v>990</v>
      </c>
      <c r="C158" s="12" t="n">
        <v>75</v>
      </c>
      <c r="D158" s="12" t="s">
        <v>116</v>
      </c>
      <c r="E158" s="12" t="s">
        <v>144</v>
      </c>
      <c r="F158" s="12" t="str">
        <f aca="false">IF(COUNTIF('Item modifiers'!$C:$C,A158)&gt;0,"Yes","")</f>
        <v/>
      </c>
    </row>
    <row r="159" customFormat="false" ht="15" hidden="false" customHeight="false" outlineLevel="0" collapsed="false">
      <c r="A159" s="12" t="s">
        <v>991</v>
      </c>
      <c r="B159" s="12" t="s">
        <v>992</v>
      </c>
      <c r="C159" s="12" t="n">
        <v>50</v>
      </c>
      <c r="D159" s="12" t="s">
        <v>993</v>
      </c>
      <c r="E159" s="12" t="s">
        <v>136</v>
      </c>
      <c r="F159" s="12" t="str">
        <f aca="false">IF(COUNTIF('Item modifiers'!$C:$C,A159)&gt;0,"Yes","")</f>
        <v/>
      </c>
    </row>
    <row r="160" customFormat="false" ht="15" hidden="false" customHeight="false" outlineLevel="0" collapsed="false">
      <c r="A160" s="12" t="s">
        <v>607</v>
      </c>
      <c r="B160" s="12" t="s">
        <v>608</v>
      </c>
      <c r="C160" s="12" t="n">
        <v>75</v>
      </c>
      <c r="D160" s="12" t="s">
        <v>151</v>
      </c>
      <c r="E160" s="12" t="s">
        <v>136</v>
      </c>
      <c r="F160" s="12" t="str">
        <f aca="false">IF(COUNTIF('Item modifiers'!$C:$C,A160)&gt;0,"Yes","")</f>
        <v>Yes</v>
      </c>
    </row>
    <row r="161" customFormat="false" ht="52.2" hidden="false" customHeight="false" outlineLevel="0" collapsed="false">
      <c r="A161" s="12" t="s">
        <v>994</v>
      </c>
      <c r="B161" s="12" t="s">
        <v>995</v>
      </c>
      <c r="C161" s="12" t="n">
        <v>45</v>
      </c>
      <c r="D161" s="12" t="s">
        <v>984</v>
      </c>
      <c r="E161" s="12" t="s">
        <v>136</v>
      </c>
      <c r="F161" s="12" t="str">
        <f aca="false">IF(COUNTIF('Item modifiers'!$C:$C,A161)&gt;0,"Yes","")</f>
        <v/>
      </c>
    </row>
    <row r="162" customFormat="false" ht="64.9" hidden="false" customHeight="false" outlineLevel="0" collapsed="false">
      <c r="A162" s="12" t="s">
        <v>996</v>
      </c>
      <c r="B162" s="12" t="s">
        <v>997</v>
      </c>
      <c r="C162" s="12" t="n">
        <v>1</v>
      </c>
      <c r="D162" s="12" t="s">
        <v>998</v>
      </c>
      <c r="E162" s="12" t="s">
        <v>999</v>
      </c>
      <c r="F162" s="12" t="str">
        <f aca="false">IF(COUNTIF('Item modifiers'!$C:$C,A162)&gt;0,"Yes","")</f>
        <v/>
      </c>
    </row>
    <row r="163" customFormat="false" ht="26.85" hidden="false" customHeight="false" outlineLevel="0" collapsed="false">
      <c r="A163" s="12" t="s">
        <v>1000</v>
      </c>
      <c r="B163" s="12" t="s">
        <v>1001</v>
      </c>
      <c r="C163" s="12" t="n">
        <v>1</v>
      </c>
      <c r="D163" s="12" t="s">
        <v>954</v>
      </c>
      <c r="E163" s="12" t="s">
        <v>85</v>
      </c>
      <c r="F163" s="12" t="str">
        <f aca="false">IF(COUNTIF('Item modifiers'!$C:$C,A163)&gt;0,"Yes","")</f>
        <v/>
      </c>
    </row>
    <row r="164" customFormat="false" ht="52.2" hidden="false" customHeight="false" outlineLevel="0" collapsed="false">
      <c r="A164" s="12" t="s">
        <v>1002</v>
      </c>
      <c r="B164" s="12" t="s">
        <v>1003</v>
      </c>
      <c r="C164" s="12" t="n">
        <v>8</v>
      </c>
      <c r="D164" s="12" t="s">
        <v>614</v>
      </c>
      <c r="E164" s="12" t="s">
        <v>85</v>
      </c>
      <c r="F164" s="12" t="str">
        <f aca="false">IF(COUNTIF('Item modifiers'!$C:$C,A164)&gt;0,"Yes","")</f>
        <v/>
      </c>
    </row>
    <row r="165" customFormat="false" ht="52.2" hidden="false" customHeight="false" outlineLevel="0" collapsed="false">
      <c r="A165" s="12" t="s">
        <v>192</v>
      </c>
      <c r="B165" s="12" t="s">
        <v>193</v>
      </c>
      <c r="C165" s="12" t="n">
        <v>1</v>
      </c>
      <c r="D165" s="12" t="s">
        <v>194</v>
      </c>
      <c r="E165" s="12" t="s">
        <v>195</v>
      </c>
      <c r="F165" s="12" t="str">
        <f aca="false">IF(COUNTIF('Item modifiers'!$C:$C,A165)&gt;0,"Yes","")</f>
        <v>Yes</v>
      </c>
    </row>
    <row r="166" customFormat="false" ht="26.85" hidden="false" customHeight="false" outlineLevel="0" collapsed="false">
      <c r="A166" s="12" t="s">
        <v>1004</v>
      </c>
      <c r="B166" s="12" t="s">
        <v>1005</v>
      </c>
      <c r="C166" s="12" t="n">
        <v>60</v>
      </c>
      <c r="D166" s="12" t="s">
        <v>174</v>
      </c>
      <c r="E166" s="12" t="s">
        <v>208</v>
      </c>
      <c r="F166" s="12" t="str">
        <f aca="false">IF(COUNTIF('Item modifiers'!$C:$C,A166)&gt;0,"Yes","")</f>
        <v/>
      </c>
    </row>
    <row r="167" customFormat="false" ht="39.55" hidden="false" customHeight="false" outlineLevel="0" collapsed="false">
      <c r="A167" s="12" t="s">
        <v>1006</v>
      </c>
      <c r="B167" s="12" t="s">
        <v>1007</v>
      </c>
      <c r="C167" s="12" t="n">
        <v>72</v>
      </c>
      <c r="D167" s="12" t="s">
        <v>151</v>
      </c>
      <c r="E167" s="12" t="s">
        <v>208</v>
      </c>
      <c r="F167" s="12" t="str">
        <f aca="false">IF(COUNTIF('Item modifiers'!$C:$C,A167)&gt;0,"Yes","")</f>
        <v/>
      </c>
    </row>
    <row r="168" customFormat="false" ht="26.85" hidden="false" customHeight="false" outlineLevel="0" collapsed="false">
      <c r="A168" s="12" t="s">
        <v>1008</v>
      </c>
      <c r="B168" s="12" t="s">
        <v>1009</v>
      </c>
      <c r="C168" s="12" t="n">
        <v>60</v>
      </c>
      <c r="D168" s="12" t="s">
        <v>174</v>
      </c>
      <c r="E168" s="12" t="s">
        <v>152</v>
      </c>
      <c r="F168" s="12" t="str">
        <f aca="false">IF(COUNTIF('Item modifiers'!$C:$C,A168)&gt;0,"Yes","")</f>
        <v/>
      </c>
    </row>
    <row r="169" customFormat="false" ht="15" hidden="false" customHeight="false" outlineLevel="0" collapsed="false">
      <c r="A169" s="12" t="s">
        <v>456</v>
      </c>
      <c r="B169" s="12" t="s">
        <v>457</v>
      </c>
      <c r="C169" s="12" t="n">
        <v>1</v>
      </c>
      <c r="D169" s="12" t="s">
        <v>98</v>
      </c>
      <c r="E169" s="12" t="s">
        <v>117</v>
      </c>
      <c r="F169" s="12" t="str">
        <f aca="false">IF(COUNTIF('Item modifiers'!$C:$C,A169)&gt;0,"Yes","")</f>
        <v>Yes</v>
      </c>
    </row>
    <row r="170" customFormat="false" ht="26.85" hidden="false" customHeight="false" outlineLevel="0" collapsed="false">
      <c r="A170" s="12" t="s">
        <v>460</v>
      </c>
      <c r="B170" s="12" t="s">
        <v>461</v>
      </c>
      <c r="C170" s="12" t="n">
        <v>63</v>
      </c>
      <c r="D170" s="12" t="s">
        <v>262</v>
      </c>
      <c r="E170" s="12" t="s">
        <v>462</v>
      </c>
      <c r="F170" s="12" t="str">
        <f aca="false">IF(COUNTIF('Item modifiers'!$C:$C,A170)&gt;0,"Yes","")</f>
        <v>Yes</v>
      </c>
    </row>
    <row r="171" customFormat="false" ht="64.9" hidden="false" customHeight="false" outlineLevel="0" collapsed="false">
      <c r="A171" s="12" t="s">
        <v>1010</v>
      </c>
      <c r="B171" s="12" t="s">
        <v>1011</v>
      </c>
      <c r="C171" s="12" t="n">
        <v>1</v>
      </c>
      <c r="D171" s="12" t="s">
        <v>1012</v>
      </c>
      <c r="E171" s="12" t="s">
        <v>1013</v>
      </c>
      <c r="F171" s="12" t="str">
        <f aca="false">IF(COUNTIF('Item modifiers'!$C:$C,A171)&gt;0,"Yes","")</f>
        <v/>
      </c>
    </row>
    <row r="172" customFormat="false" ht="39.55" hidden="false" customHeight="false" outlineLevel="0" collapsed="false">
      <c r="A172" s="12" t="s">
        <v>164</v>
      </c>
      <c r="B172" s="12" t="s">
        <v>165</v>
      </c>
      <c r="C172" s="12" t="n">
        <v>45</v>
      </c>
      <c r="D172" s="12" t="s">
        <v>166</v>
      </c>
      <c r="E172" s="12" t="s">
        <v>167</v>
      </c>
      <c r="F172" s="12" t="str">
        <f aca="false">IF(COUNTIF('Item modifiers'!$C:$C,A172)&gt;0,"Yes","")</f>
        <v>Yes</v>
      </c>
    </row>
    <row r="173" customFormat="false" ht="26.85" hidden="false" customHeight="false" outlineLevel="0" collapsed="false">
      <c r="A173" s="12" t="s">
        <v>1014</v>
      </c>
      <c r="B173" s="12" t="s">
        <v>1015</v>
      </c>
      <c r="C173" s="12" t="n">
        <v>1</v>
      </c>
      <c r="D173" s="12" t="s">
        <v>1016</v>
      </c>
      <c r="E173" s="12" t="s">
        <v>349</v>
      </c>
      <c r="F173" s="12" t="str">
        <f aca="false">IF(COUNTIF('Item modifiers'!$C:$C,A173)&gt;0,"Yes","")</f>
        <v/>
      </c>
    </row>
    <row r="174" customFormat="false" ht="52.2" hidden="false" customHeight="false" outlineLevel="0" collapsed="false">
      <c r="A174" s="12" t="s">
        <v>612</v>
      </c>
      <c r="B174" s="12" t="s">
        <v>613</v>
      </c>
      <c r="C174" s="12" t="n">
        <v>1</v>
      </c>
      <c r="D174" s="12" t="s">
        <v>614</v>
      </c>
      <c r="E174" s="12" t="s">
        <v>324</v>
      </c>
      <c r="F174" s="12" t="str">
        <f aca="false">IF(COUNTIF('Item modifiers'!$C:$C,A174)&gt;0,"Yes","")</f>
        <v>Yes</v>
      </c>
    </row>
    <row r="175" customFormat="false" ht="15" hidden="false" customHeight="false" outlineLevel="0" collapsed="false">
      <c r="A175" s="12" t="s">
        <v>1017</v>
      </c>
      <c r="B175" s="12" t="s">
        <v>1018</v>
      </c>
      <c r="C175" s="12" t="n">
        <v>1</v>
      </c>
      <c r="D175" s="12" t="s">
        <v>84</v>
      </c>
      <c r="E175" s="12" t="s">
        <v>85</v>
      </c>
      <c r="F175" s="12" t="str">
        <f aca="false">IF(COUNTIF('Item modifiers'!$C:$C,A175)&gt;0,"Yes","")</f>
        <v/>
      </c>
    </row>
    <row r="176" customFormat="false" ht="15" hidden="false" customHeight="false" outlineLevel="0" collapsed="false">
      <c r="A176" s="12" t="s">
        <v>1019</v>
      </c>
      <c r="B176" s="12" t="s">
        <v>1020</v>
      </c>
      <c r="C176" s="12" t="n">
        <v>1</v>
      </c>
      <c r="D176" s="12" t="s">
        <v>878</v>
      </c>
      <c r="E176" s="12" t="s">
        <v>99</v>
      </c>
      <c r="F176" s="12" t="str">
        <f aca="false">IF(COUNTIF('Item modifiers'!$C:$C,A176)&gt;0,"Yes","")</f>
        <v/>
      </c>
    </row>
    <row r="177" customFormat="false" ht="26.85" hidden="false" customHeight="false" outlineLevel="0" collapsed="false">
      <c r="A177" s="12" t="s">
        <v>1021</v>
      </c>
      <c r="B177" s="12" t="s">
        <v>1022</v>
      </c>
      <c r="C177" s="12" t="n">
        <v>60</v>
      </c>
      <c r="D177" s="12" t="s">
        <v>116</v>
      </c>
      <c r="E177" s="12" t="s">
        <v>208</v>
      </c>
      <c r="F177" s="12" t="str">
        <f aca="false">IF(COUNTIF('Item modifiers'!$C:$C,A177)&gt;0,"Yes","")</f>
        <v/>
      </c>
    </row>
    <row r="178" customFormat="false" ht="15" hidden="false" customHeight="false" outlineLevel="0" collapsed="false">
      <c r="A178" s="12" t="s">
        <v>1023</v>
      </c>
      <c r="B178" s="12" t="s">
        <v>1024</v>
      </c>
      <c r="C178" s="12" t="n">
        <v>1</v>
      </c>
      <c r="D178" s="12" t="s">
        <v>1025</v>
      </c>
      <c r="E178" s="12" t="s">
        <v>85</v>
      </c>
      <c r="F178" s="12" t="str">
        <f aca="false">IF(COUNTIF('Item modifiers'!$C:$C,A178)&gt;0,"Yes","")</f>
        <v/>
      </c>
    </row>
    <row r="179" customFormat="false" ht="52.2" hidden="false" customHeight="false" outlineLevel="0" collapsed="false">
      <c r="A179" s="12" t="s">
        <v>244</v>
      </c>
      <c r="B179" s="12" t="s">
        <v>245</v>
      </c>
      <c r="C179" s="12" t="n">
        <v>1</v>
      </c>
      <c r="D179" s="12" t="s">
        <v>246</v>
      </c>
      <c r="E179" s="12" t="s">
        <v>227</v>
      </c>
      <c r="F179" s="12" t="str">
        <f aca="false">IF(COUNTIF('Item modifiers'!$C:$C,A179)&gt;0,"Yes","")</f>
        <v>Yes</v>
      </c>
    </row>
    <row r="180" customFormat="false" ht="26.85" hidden="false" customHeight="false" outlineLevel="0" collapsed="false">
      <c r="A180" s="12" t="s">
        <v>1026</v>
      </c>
      <c r="B180" s="12" t="s">
        <v>1027</v>
      </c>
      <c r="C180" s="12" t="n">
        <v>50</v>
      </c>
      <c r="D180" s="12" t="s">
        <v>233</v>
      </c>
      <c r="E180" s="12" t="s">
        <v>1028</v>
      </c>
      <c r="F180" s="12" t="str">
        <f aca="false">IF(COUNTIF('Item modifiers'!$C:$C,A180)&gt;0,"Yes","")</f>
        <v/>
      </c>
    </row>
    <row r="181" customFormat="false" ht="26.85" hidden="false" customHeight="false" outlineLevel="0" collapsed="false">
      <c r="A181" s="12" t="s">
        <v>1029</v>
      </c>
      <c r="B181" s="12" t="s">
        <v>1030</v>
      </c>
      <c r="C181" s="12" t="n">
        <v>50</v>
      </c>
      <c r="D181" s="12" t="s">
        <v>233</v>
      </c>
      <c r="E181" s="12" t="s">
        <v>1028</v>
      </c>
      <c r="F181" s="12" t="str">
        <f aca="false">IF(COUNTIF('Item modifiers'!$C:$C,A181)&gt;0,"Yes","")</f>
        <v/>
      </c>
    </row>
    <row r="182" customFormat="false" ht="26.85" hidden="false" customHeight="false" outlineLevel="0" collapsed="false">
      <c r="A182" s="12" t="s">
        <v>1031</v>
      </c>
      <c r="B182" s="12" t="s">
        <v>1032</v>
      </c>
      <c r="C182" s="12" t="n">
        <v>60</v>
      </c>
      <c r="D182" s="12" t="s">
        <v>233</v>
      </c>
      <c r="E182" s="12" t="s">
        <v>208</v>
      </c>
      <c r="F182" s="12" t="str">
        <f aca="false">IF(COUNTIF('Item modifiers'!$C:$C,A182)&gt;0,"Yes","")</f>
        <v/>
      </c>
    </row>
    <row r="183" customFormat="false" ht="39.55" hidden="false" customHeight="false" outlineLevel="0" collapsed="false">
      <c r="A183" s="12" t="s">
        <v>1033</v>
      </c>
      <c r="B183" s="12" t="s">
        <v>1034</v>
      </c>
      <c r="C183" s="12" t="n">
        <v>50</v>
      </c>
      <c r="D183" s="12" t="s">
        <v>233</v>
      </c>
      <c r="E183" s="12" t="s">
        <v>1035</v>
      </c>
      <c r="F183" s="12" t="str">
        <f aca="false">IF(COUNTIF('Item modifiers'!$C:$C,A183)&gt;0,"Yes","")</f>
        <v/>
      </c>
    </row>
    <row r="184" customFormat="false" ht="15" hidden="false" customHeight="false" outlineLevel="0" collapsed="false">
      <c r="A184" s="12" t="s">
        <v>1036</v>
      </c>
      <c r="B184" s="12" t="s">
        <v>1037</v>
      </c>
      <c r="C184" s="12" t="n">
        <v>5</v>
      </c>
      <c r="D184" s="12" t="s">
        <v>629</v>
      </c>
      <c r="E184" s="12" t="s">
        <v>85</v>
      </c>
      <c r="F184" s="12" t="str">
        <f aca="false">IF(COUNTIF('Item modifiers'!$C:$C,A184)&gt;0,"Yes","")</f>
        <v/>
      </c>
    </row>
    <row r="185" customFormat="false" ht="26.85" hidden="false" customHeight="false" outlineLevel="0" collapsed="false">
      <c r="A185" s="12" t="s">
        <v>1038</v>
      </c>
      <c r="B185" s="12" t="s">
        <v>1039</v>
      </c>
      <c r="C185" s="12" t="n">
        <v>63</v>
      </c>
      <c r="D185" s="12" t="s">
        <v>233</v>
      </c>
      <c r="E185" s="12" t="s">
        <v>462</v>
      </c>
      <c r="F185" s="12" t="str">
        <f aca="false">IF(COUNTIF('Item modifiers'!$C:$C,A185)&gt;0,"Yes","")</f>
        <v/>
      </c>
    </row>
    <row r="186" customFormat="false" ht="15" hidden="false" customHeight="false" outlineLevel="0" collapsed="false">
      <c r="A186" s="12" t="s">
        <v>1040</v>
      </c>
      <c r="B186" s="12" t="s">
        <v>1041</v>
      </c>
      <c r="C186" s="12" t="n">
        <v>60</v>
      </c>
      <c r="D186" s="12" t="s">
        <v>233</v>
      </c>
      <c r="E186" s="12" t="s">
        <v>152</v>
      </c>
      <c r="F186" s="12" t="str">
        <f aca="false">IF(COUNTIF('Item modifiers'!$C:$C,A186)&gt;0,"Yes","")</f>
        <v/>
      </c>
    </row>
    <row r="187" customFormat="false" ht="26.85" hidden="false" customHeight="false" outlineLevel="0" collapsed="false">
      <c r="A187" s="12" t="s">
        <v>1042</v>
      </c>
      <c r="B187" s="12" t="s">
        <v>1043</v>
      </c>
      <c r="C187" s="12" t="n">
        <v>1</v>
      </c>
      <c r="D187" s="12" t="s">
        <v>233</v>
      </c>
      <c r="E187" s="12" t="s">
        <v>117</v>
      </c>
      <c r="F187" s="12" t="str">
        <f aca="false">IF(COUNTIF('Item modifiers'!$C:$C,A187)&gt;0,"Yes","")</f>
        <v/>
      </c>
    </row>
    <row r="188" customFormat="false" ht="39.55" hidden="false" customHeight="false" outlineLevel="0" collapsed="false">
      <c r="A188" s="12" t="s">
        <v>38</v>
      </c>
      <c r="B188" s="12" t="s">
        <v>39</v>
      </c>
      <c r="C188" s="12" t="n">
        <v>1</v>
      </c>
      <c r="D188" s="12" t="s">
        <v>40</v>
      </c>
      <c r="E188" s="12" t="s">
        <v>41</v>
      </c>
      <c r="F188" s="12" t="str">
        <f aca="false">IF(COUNTIF('Item modifiers'!$C:$C,A188)&gt;0,"Yes","")</f>
        <v>Yes</v>
      </c>
    </row>
    <row r="189" customFormat="false" ht="39.55" hidden="false" customHeight="false" outlineLevel="0" collapsed="false">
      <c r="A189" s="12" t="s">
        <v>1044</v>
      </c>
      <c r="B189" s="12" t="s">
        <v>1045</v>
      </c>
      <c r="C189" s="12" t="n">
        <v>1</v>
      </c>
      <c r="D189" s="12" t="s">
        <v>40</v>
      </c>
      <c r="E189" s="12" t="s">
        <v>85</v>
      </c>
      <c r="F189" s="12" t="str">
        <f aca="false">IF(COUNTIF('Item modifiers'!$C:$C,A189)&gt;0,"Yes","")</f>
        <v/>
      </c>
    </row>
    <row r="190" customFormat="false" ht="39.55" hidden="false" customHeight="false" outlineLevel="0" collapsed="false">
      <c r="A190" s="12" t="s">
        <v>1046</v>
      </c>
      <c r="B190" s="12" t="s">
        <v>1047</v>
      </c>
      <c r="C190" s="12" t="n">
        <v>60</v>
      </c>
      <c r="D190" s="12" t="s">
        <v>40</v>
      </c>
      <c r="E190" s="12" t="s">
        <v>208</v>
      </c>
      <c r="F190" s="12" t="str">
        <f aca="false">IF(COUNTIF('Item modifiers'!$C:$C,A190)&gt;0,"Yes","")</f>
        <v/>
      </c>
    </row>
    <row r="191" customFormat="false" ht="39.55" hidden="false" customHeight="false" outlineLevel="0" collapsed="false">
      <c r="A191" s="12" t="s">
        <v>1048</v>
      </c>
      <c r="B191" s="12" t="s">
        <v>1049</v>
      </c>
      <c r="C191" s="12" t="n">
        <v>60</v>
      </c>
      <c r="D191" s="12" t="s">
        <v>40</v>
      </c>
      <c r="E191" s="12" t="s">
        <v>208</v>
      </c>
      <c r="F191" s="12" t="str">
        <f aca="false">IF(COUNTIF('Item modifiers'!$C:$C,A191)&gt;0,"Yes","")</f>
        <v/>
      </c>
    </row>
    <row r="192" customFormat="false" ht="39.55" hidden="false" customHeight="false" outlineLevel="0" collapsed="false">
      <c r="A192" s="12" t="s">
        <v>1050</v>
      </c>
      <c r="B192" s="12" t="s">
        <v>1051</v>
      </c>
      <c r="C192" s="12" t="n">
        <v>60</v>
      </c>
      <c r="D192" s="12" t="s">
        <v>40</v>
      </c>
      <c r="E192" s="12" t="s">
        <v>208</v>
      </c>
      <c r="F192" s="12" t="str">
        <f aca="false">IF(COUNTIF('Item modifiers'!$C:$C,A192)&gt;0,"Yes","")</f>
        <v/>
      </c>
    </row>
    <row r="193" customFormat="false" ht="39.55" hidden="false" customHeight="false" outlineLevel="0" collapsed="false">
      <c r="A193" s="12" t="s">
        <v>1052</v>
      </c>
      <c r="B193" s="12" t="s">
        <v>1053</v>
      </c>
      <c r="C193" s="12" t="n">
        <v>60</v>
      </c>
      <c r="D193" s="12" t="s">
        <v>40</v>
      </c>
      <c r="E193" s="12" t="s">
        <v>208</v>
      </c>
      <c r="F193" s="12" t="str">
        <f aca="false">IF(COUNTIF('Item modifiers'!$C:$C,A193)&gt;0,"Yes","")</f>
        <v/>
      </c>
    </row>
    <row r="194" customFormat="false" ht="15" hidden="false" customHeight="false" outlineLevel="0" collapsed="false">
      <c r="A194" s="12" t="s">
        <v>1054</v>
      </c>
      <c r="B194" s="12" t="s">
        <v>1055</v>
      </c>
      <c r="C194" s="12" t="n">
        <v>45</v>
      </c>
      <c r="D194" s="12" t="s">
        <v>295</v>
      </c>
      <c r="E194" s="12" t="s">
        <v>221</v>
      </c>
      <c r="F194" s="12" t="str">
        <f aca="false">IF(COUNTIF('Item modifiers'!$C:$C,A194)&gt;0,"Yes","")</f>
        <v/>
      </c>
    </row>
    <row r="195" customFormat="false" ht="15" hidden="false" customHeight="false" outlineLevel="0" collapsed="false">
      <c r="A195" s="12" t="s">
        <v>1056</v>
      </c>
      <c r="B195" s="12" t="s">
        <v>1057</v>
      </c>
      <c r="C195" s="12" t="n">
        <v>1</v>
      </c>
      <c r="D195" s="12" t="s">
        <v>98</v>
      </c>
      <c r="E195" s="12" t="s">
        <v>136</v>
      </c>
      <c r="F195" s="12" t="str">
        <f aca="false">IF(COUNTIF('Item modifiers'!$C:$C,A195)&gt;0,"Yes","")</f>
        <v/>
      </c>
    </row>
    <row r="196" customFormat="false" ht="15" hidden="false" customHeight="false" outlineLevel="0" collapsed="false">
      <c r="A196" s="12" t="s">
        <v>1058</v>
      </c>
      <c r="B196" s="12" t="s">
        <v>1059</v>
      </c>
      <c r="C196" s="12" t="n">
        <v>1</v>
      </c>
      <c r="D196" s="12" t="s">
        <v>98</v>
      </c>
      <c r="E196" s="12" t="s">
        <v>136</v>
      </c>
      <c r="F196" s="12" t="str">
        <f aca="false">IF(COUNTIF('Item modifiers'!$C:$C,A196)&gt;0,"Yes","")</f>
        <v/>
      </c>
    </row>
    <row r="197" customFormat="false" ht="15" hidden="false" customHeight="false" outlineLevel="0" collapsed="false">
      <c r="A197" s="12" t="s">
        <v>1060</v>
      </c>
      <c r="B197" s="12" t="s">
        <v>1061</v>
      </c>
      <c r="C197" s="12" t="n">
        <v>1</v>
      </c>
      <c r="D197" s="12" t="s">
        <v>98</v>
      </c>
      <c r="E197" s="12" t="s">
        <v>136</v>
      </c>
      <c r="F197" s="12" t="str">
        <f aca="false">IF(COUNTIF('Item modifiers'!$C:$C,A197)&gt;0,"Yes","")</f>
        <v/>
      </c>
    </row>
    <row r="198" customFormat="false" ht="26.85" hidden="false" customHeight="false" outlineLevel="0" collapsed="false">
      <c r="A198" s="12" t="s">
        <v>1062</v>
      </c>
      <c r="B198" s="12" t="s">
        <v>1063</v>
      </c>
      <c r="C198" s="12" t="n">
        <v>1</v>
      </c>
      <c r="D198" s="12" t="s">
        <v>98</v>
      </c>
      <c r="E198" s="12" t="s">
        <v>136</v>
      </c>
      <c r="F198" s="12" t="str">
        <f aca="false">IF(COUNTIF('Item modifiers'!$C:$C,A198)&gt;0,"Yes","")</f>
        <v/>
      </c>
    </row>
    <row r="199" customFormat="false" ht="15" hidden="false" customHeight="false" outlineLevel="0" collapsed="false">
      <c r="A199" s="12" t="s">
        <v>1064</v>
      </c>
      <c r="B199" s="12" t="s">
        <v>1065</v>
      </c>
      <c r="C199" s="12" t="n">
        <v>1</v>
      </c>
      <c r="D199" s="12" t="s">
        <v>98</v>
      </c>
      <c r="E199" s="12" t="s">
        <v>136</v>
      </c>
      <c r="F199" s="12" t="str">
        <f aca="false">IF(COUNTIF('Item modifiers'!$C:$C,A199)&gt;0,"Yes","")</f>
        <v/>
      </c>
    </row>
    <row r="200" customFormat="false" ht="15" hidden="false" customHeight="false" outlineLevel="0" collapsed="false">
      <c r="A200" s="12" t="s">
        <v>1066</v>
      </c>
      <c r="B200" s="12" t="s">
        <v>1067</v>
      </c>
      <c r="C200" s="12" t="n">
        <v>1</v>
      </c>
      <c r="D200" s="12" t="s">
        <v>98</v>
      </c>
      <c r="E200" s="12" t="s">
        <v>136</v>
      </c>
      <c r="F200" s="12" t="str">
        <f aca="false">IF(COUNTIF('Item modifiers'!$C:$C,A200)&gt;0,"Yes","")</f>
        <v/>
      </c>
    </row>
    <row r="201" customFormat="false" ht="26.85" hidden="false" customHeight="false" outlineLevel="0" collapsed="false">
      <c r="A201" s="12" t="s">
        <v>1068</v>
      </c>
      <c r="B201" s="12" t="s">
        <v>1069</v>
      </c>
      <c r="C201" s="12" t="n">
        <v>38</v>
      </c>
      <c r="D201" s="12" t="s">
        <v>1070</v>
      </c>
      <c r="E201" s="12" t="s">
        <v>1071</v>
      </c>
      <c r="F201" s="12" t="str">
        <f aca="false">IF(COUNTIF('Item modifiers'!$C:$C,A201)&gt;0,"Yes","")</f>
        <v/>
      </c>
    </row>
    <row r="202" customFormat="false" ht="26.85" hidden="false" customHeight="false" outlineLevel="0" collapsed="false">
      <c r="A202" s="12" t="s">
        <v>1072</v>
      </c>
      <c r="B202" s="12" t="s">
        <v>1073</v>
      </c>
      <c r="C202" s="12" t="n">
        <v>1</v>
      </c>
      <c r="D202" s="12" t="s">
        <v>98</v>
      </c>
      <c r="E202" s="12" t="s">
        <v>85</v>
      </c>
      <c r="F202" s="12" t="str">
        <f aca="false">IF(COUNTIF('Item modifiers'!$C:$C,A202)&gt;0,"Yes","")</f>
        <v/>
      </c>
    </row>
    <row r="203" customFormat="false" ht="52.2" hidden="false" customHeight="false" outlineLevel="0" collapsed="false">
      <c r="A203" s="12" t="s">
        <v>1074</v>
      </c>
      <c r="B203" s="12" t="s">
        <v>1075</v>
      </c>
      <c r="C203" s="12" t="n">
        <v>45</v>
      </c>
      <c r="D203" s="12" t="s">
        <v>984</v>
      </c>
      <c r="E203" s="12" t="s">
        <v>136</v>
      </c>
      <c r="F203" s="12" t="str">
        <f aca="false">IF(COUNTIF('Item modifiers'!$C:$C,A203)&gt;0,"Yes","")</f>
        <v/>
      </c>
    </row>
    <row r="204" customFormat="false" ht="15" hidden="false" customHeight="false" outlineLevel="0" collapsed="false">
      <c r="A204" s="12" t="s">
        <v>597</v>
      </c>
      <c r="B204" s="12" t="s">
        <v>598</v>
      </c>
      <c r="C204" s="12" t="n">
        <v>65</v>
      </c>
      <c r="D204" s="12" t="s">
        <v>599</v>
      </c>
      <c r="E204" s="12" t="s">
        <v>136</v>
      </c>
      <c r="F204" s="12" t="str">
        <f aca="false">IF(COUNTIF('Item modifiers'!$C:$C,A204)&gt;0,"Yes","")</f>
        <v>Yes</v>
      </c>
    </row>
    <row r="205" customFormat="false" ht="26.85" hidden="false" customHeight="false" outlineLevel="0" collapsed="false">
      <c r="A205" s="12" t="s">
        <v>603</v>
      </c>
      <c r="B205" s="12" t="s">
        <v>604</v>
      </c>
      <c r="C205" s="12" t="n">
        <v>72</v>
      </c>
      <c r="D205" s="12" t="s">
        <v>295</v>
      </c>
      <c r="E205" s="12" t="s">
        <v>208</v>
      </c>
      <c r="F205" s="12" t="str">
        <f aca="false">IF(COUNTIF('Item modifiers'!$C:$C,A205)&gt;0,"Yes","")</f>
        <v>Yes</v>
      </c>
    </row>
    <row r="206" customFormat="false" ht="26.85" hidden="false" customHeight="false" outlineLevel="0" collapsed="false">
      <c r="A206" s="12" t="s">
        <v>589</v>
      </c>
      <c r="B206" s="12" t="s">
        <v>590</v>
      </c>
      <c r="C206" s="12" t="n">
        <v>3</v>
      </c>
      <c r="D206" s="12" t="s">
        <v>591</v>
      </c>
      <c r="E206" s="12" t="s">
        <v>592</v>
      </c>
      <c r="F206" s="12" t="str">
        <f aca="false">IF(COUNTIF('Item modifiers'!$C:$C,A206)&gt;0,"Yes","")</f>
        <v>Yes</v>
      </c>
    </row>
    <row r="207" customFormat="false" ht="26.85" hidden="false" customHeight="false" outlineLevel="0" collapsed="false">
      <c r="A207" s="12" t="s">
        <v>1076</v>
      </c>
      <c r="B207" s="12" t="s">
        <v>1077</v>
      </c>
      <c r="C207" s="12" t="n">
        <v>60</v>
      </c>
      <c r="D207" s="12" t="s">
        <v>780</v>
      </c>
      <c r="E207" s="12" t="s">
        <v>208</v>
      </c>
      <c r="F207" s="12" t="str">
        <f aca="false">IF(COUNTIF('Item modifiers'!$C:$C,A207)&gt;0,"Yes","")</f>
        <v/>
      </c>
    </row>
    <row r="208" customFormat="false" ht="15" hidden="false" customHeight="false" outlineLevel="0" collapsed="false">
      <c r="A208" s="12" t="s">
        <v>1078</v>
      </c>
      <c r="B208" s="12" t="s">
        <v>1079</v>
      </c>
      <c r="C208" s="12" t="n">
        <v>1</v>
      </c>
      <c r="D208" s="12" t="s">
        <v>875</v>
      </c>
      <c r="E208" s="12" t="s">
        <v>85</v>
      </c>
      <c r="F208" s="12" t="str">
        <f aca="false">IF(COUNTIF('Item modifiers'!$C:$C,A208)&gt;0,"Yes","")</f>
        <v/>
      </c>
    </row>
    <row r="209" customFormat="false" ht="15" hidden="false" customHeight="false" outlineLevel="0" collapsed="false">
      <c r="A209" s="12" t="s">
        <v>280</v>
      </c>
      <c r="B209" s="12" t="s">
        <v>281</v>
      </c>
      <c r="C209" s="12" t="n">
        <v>1</v>
      </c>
      <c r="D209" s="12" t="s">
        <v>282</v>
      </c>
      <c r="E209" s="12" t="s">
        <v>283</v>
      </c>
      <c r="F209" s="12" t="str">
        <f aca="false">IF(COUNTIF('Item modifiers'!$C:$C,A209)&gt;0,"Yes","")</f>
        <v>Yes</v>
      </c>
    </row>
    <row r="210" customFormat="false" ht="26.85" hidden="false" customHeight="false" outlineLevel="0" collapsed="false">
      <c r="A210" s="12" t="s">
        <v>569</v>
      </c>
      <c r="B210" s="12" t="s">
        <v>570</v>
      </c>
      <c r="C210" s="12" t="n">
        <v>1</v>
      </c>
      <c r="D210" s="12" t="s">
        <v>571</v>
      </c>
      <c r="E210" s="12" t="s">
        <v>349</v>
      </c>
      <c r="F210" s="12" t="str">
        <f aca="false">IF(COUNTIF('Item modifiers'!$C:$C,A210)&gt;0,"Yes","")</f>
        <v>Yes</v>
      </c>
    </row>
    <row r="211" customFormat="false" ht="26.85" hidden="false" customHeight="false" outlineLevel="0" collapsed="false">
      <c r="A211" s="12" t="s">
        <v>1080</v>
      </c>
      <c r="B211" s="12" t="s">
        <v>1081</v>
      </c>
      <c r="C211" s="12" t="n">
        <v>1</v>
      </c>
      <c r="D211" s="12" t="s">
        <v>969</v>
      </c>
      <c r="E211" s="12" t="s">
        <v>125</v>
      </c>
      <c r="F211" s="12" t="str">
        <f aca="false">IF(COUNTIF('Item modifiers'!$C:$C,A211)&gt;0,"Yes","")</f>
        <v/>
      </c>
    </row>
    <row r="212" customFormat="false" ht="26.85" hidden="false" customHeight="false" outlineLevel="0" collapsed="false">
      <c r="A212" s="12" t="s">
        <v>1082</v>
      </c>
      <c r="B212" s="12" t="s">
        <v>1083</v>
      </c>
      <c r="C212" s="12" t="n">
        <v>1</v>
      </c>
      <c r="D212" s="12" t="s">
        <v>969</v>
      </c>
      <c r="E212" s="12" t="s">
        <v>125</v>
      </c>
      <c r="F212" s="12" t="str">
        <f aca="false">IF(COUNTIF('Item modifiers'!$C:$C,A212)&gt;0,"Yes","")</f>
        <v/>
      </c>
    </row>
    <row r="213" customFormat="false" ht="52.2" hidden="false" customHeight="false" outlineLevel="0" collapsed="false">
      <c r="A213" s="12" t="s">
        <v>533</v>
      </c>
      <c r="B213" s="12" t="s">
        <v>534</v>
      </c>
      <c r="C213" s="12" t="n">
        <v>1</v>
      </c>
      <c r="D213" s="12" t="s">
        <v>535</v>
      </c>
      <c r="E213" s="12" t="s">
        <v>488</v>
      </c>
      <c r="F213" s="12" t="str">
        <f aca="false">IF(COUNTIF('Item modifiers'!$C:$C,A213)&gt;0,"Yes","")</f>
        <v>Yes</v>
      </c>
    </row>
    <row r="214" customFormat="false" ht="26.85" hidden="false" customHeight="false" outlineLevel="0" collapsed="false">
      <c r="A214" s="12" t="s">
        <v>1084</v>
      </c>
      <c r="B214" s="12" t="s">
        <v>1085</v>
      </c>
      <c r="C214" s="12" t="n">
        <v>1</v>
      </c>
      <c r="D214" s="12" t="s">
        <v>1086</v>
      </c>
      <c r="E214" s="12" t="s">
        <v>1087</v>
      </c>
      <c r="F214" s="12" t="str">
        <f aca="false">IF(COUNTIF('Item modifiers'!$C:$C,A214)&gt;0,"Yes","")</f>
        <v/>
      </c>
    </row>
    <row r="215" customFormat="false" ht="26.85" hidden="false" customHeight="false" outlineLevel="0" collapsed="false">
      <c r="A215" s="12" t="s">
        <v>1088</v>
      </c>
      <c r="B215" s="12" t="s">
        <v>1089</v>
      </c>
      <c r="C215" s="12" t="n">
        <v>1</v>
      </c>
      <c r="D215" s="12" t="s">
        <v>834</v>
      </c>
      <c r="E215" s="12" t="s">
        <v>488</v>
      </c>
      <c r="F215" s="12" t="str">
        <f aca="false">IF(COUNTIF('Item modifiers'!$C:$C,A215)&gt;0,"Yes","")</f>
        <v/>
      </c>
    </row>
    <row r="216" customFormat="false" ht="15" hidden="false" customHeight="false" outlineLevel="0" collapsed="false">
      <c r="A216" s="12" t="s">
        <v>1090</v>
      </c>
      <c r="B216" s="12" t="s">
        <v>1091</v>
      </c>
      <c r="C216" s="12" t="n">
        <v>1</v>
      </c>
      <c r="D216" s="12" t="s">
        <v>1025</v>
      </c>
      <c r="E216" s="12" t="s">
        <v>85</v>
      </c>
      <c r="F216" s="12" t="str">
        <f aca="false">IF(COUNTIF('Item modifiers'!$C:$C,A216)&gt;0,"Yes","")</f>
        <v/>
      </c>
    </row>
    <row r="217" customFormat="false" ht="26.85" hidden="false" customHeight="false" outlineLevel="0" collapsed="false">
      <c r="A217" s="12" t="s">
        <v>1092</v>
      </c>
      <c r="B217" s="12" t="s">
        <v>1093</v>
      </c>
      <c r="C217" s="12" t="n">
        <v>0</v>
      </c>
      <c r="D217" s="12" t="s">
        <v>629</v>
      </c>
      <c r="E217" s="12" t="s">
        <v>630</v>
      </c>
      <c r="F217" s="12" t="str">
        <f aca="false">IF(COUNTIF('Item modifiers'!$C:$C,A217)&gt;0,"Yes","")</f>
        <v/>
      </c>
    </row>
    <row r="218" customFormat="false" ht="15" hidden="false" customHeight="false" outlineLevel="0" collapsed="false">
      <c r="A218" s="12" t="s">
        <v>1094</v>
      </c>
      <c r="B218" s="12" t="s">
        <v>1095</v>
      </c>
      <c r="C218" s="12" t="n">
        <v>75</v>
      </c>
      <c r="D218" s="12" t="s">
        <v>262</v>
      </c>
      <c r="E218" s="12" t="s">
        <v>144</v>
      </c>
      <c r="F218" s="12" t="str">
        <f aca="false">IF(COUNTIF('Item modifiers'!$C:$C,A218)&gt;0,"Yes","")</f>
        <v/>
      </c>
    </row>
    <row r="219" customFormat="false" ht="15" hidden="false" customHeight="false" outlineLevel="0" collapsed="false">
      <c r="A219" s="12" t="s">
        <v>1096</v>
      </c>
      <c r="B219" s="12" t="s">
        <v>1097</v>
      </c>
      <c r="C219" s="12" t="n">
        <v>75</v>
      </c>
      <c r="D219" s="12" t="s">
        <v>262</v>
      </c>
      <c r="E219" s="12" t="s">
        <v>144</v>
      </c>
      <c r="F219" s="12" t="str">
        <f aca="false">IF(COUNTIF('Item modifiers'!$C:$C,A219)&gt;0,"Yes","")</f>
        <v/>
      </c>
    </row>
    <row r="220" customFormat="false" ht="15" hidden="false" customHeight="false" outlineLevel="0" collapsed="false">
      <c r="A220" s="12" t="s">
        <v>506</v>
      </c>
      <c r="B220" s="12" t="s">
        <v>507</v>
      </c>
      <c r="C220" s="12" t="n">
        <v>75</v>
      </c>
      <c r="D220" s="12" t="s">
        <v>262</v>
      </c>
      <c r="E220" s="12" t="s">
        <v>144</v>
      </c>
      <c r="F220" s="12" t="str">
        <f aca="false">IF(COUNTIF('Item modifiers'!$C:$C,A220)&gt;0,"Yes","")</f>
        <v>Yes</v>
      </c>
    </row>
    <row r="221" customFormat="false" ht="26.85" hidden="false" customHeight="false" outlineLevel="0" collapsed="false">
      <c r="A221" s="12" t="s">
        <v>1098</v>
      </c>
      <c r="B221" s="12" t="s">
        <v>1099</v>
      </c>
      <c r="C221" s="12" t="n">
        <v>8</v>
      </c>
      <c r="D221" s="12" t="s">
        <v>629</v>
      </c>
      <c r="E221" s="12" t="s">
        <v>1100</v>
      </c>
      <c r="F221" s="12" t="str">
        <f aca="false">IF(COUNTIF('Item modifiers'!$C:$C,A221)&gt;0,"Yes","")</f>
        <v/>
      </c>
    </row>
    <row r="222" customFormat="false" ht="26.85" hidden="false" customHeight="false" outlineLevel="0" collapsed="false">
      <c r="A222" s="12" t="s">
        <v>1101</v>
      </c>
      <c r="B222" s="12" t="s">
        <v>1102</v>
      </c>
      <c r="C222" s="12" t="n">
        <v>16</v>
      </c>
      <c r="D222" s="12" t="s">
        <v>629</v>
      </c>
      <c r="E222" s="12" t="s">
        <v>1100</v>
      </c>
      <c r="F222" s="12" t="str">
        <f aca="false">IF(COUNTIF('Item modifiers'!$C:$C,A222)&gt;0,"Yes","")</f>
        <v/>
      </c>
    </row>
    <row r="223" customFormat="false" ht="39.55" hidden="false" customHeight="false" outlineLevel="0" collapsed="false">
      <c r="A223" s="12" t="s">
        <v>1103</v>
      </c>
      <c r="B223" s="12" t="s">
        <v>1104</v>
      </c>
      <c r="C223" s="12" t="n">
        <v>3</v>
      </c>
      <c r="D223" s="12" t="s">
        <v>875</v>
      </c>
      <c r="E223" s="12" t="s">
        <v>85</v>
      </c>
      <c r="F223" s="12" t="str">
        <f aca="false">IF(COUNTIF('Item modifiers'!$C:$C,A223)&gt;0,"Yes","")</f>
        <v/>
      </c>
    </row>
    <row r="224" customFormat="false" ht="15" hidden="false" customHeight="false" outlineLevel="0" collapsed="false">
      <c r="A224" s="12" t="s">
        <v>1105</v>
      </c>
      <c r="B224" s="12" t="s">
        <v>1106</v>
      </c>
      <c r="C224" s="12" t="n">
        <v>7</v>
      </c>
      <c r="D224" s="12" t="s">
        <v>875</v>
      </c>
      <c r="E224" s="12" t="s">
        <v>85</v>
      </c>
      <c r="F224" s="12" t="str">
        <f aca="false">IF(COUNTIF('Item modifiers'!$C:$C,A224)&gt;0,"Yes","")</f>
        <v/>
      </c>
    </row>
    <row r="225" customFormat="false" ht="15" hidden="false" customHeight="false" outlineLevel="0" collapsed="false">
      <c r="A225" s="12" t="s">
        <v>1107</v>
      </c>
      <c r="B225" s="12" t="s">
        <v>1108</v>
      </c>
      <c r="C225" s="12" t="n">
        <v>1</v>
      </c>
      <c r="D225" s="12" t="s">
        <v>220</v>
      </c>
      <c r="E225" s="12" t="s">
        <v>221</v>
      </c>
      <c r="F225" s="12" t="str">
        <f aca="false">IF(COUNTIF('Item modifiers'!$C:$C,A225)&gt;0,"Yes","")</f>
        <v/>
      </c>
    </row>
    <row r="226" customFormat="false" ht="15" hidden="false" customHeight="false" outlineLevel="0" collapsed="false">
      <c r="A226" s="12" t="s">
        <v>1109</v>
      </c>
      <c r="B226" s="12" t="s">
        <v>1110</v>
      </c>
      <c r="C226" s="12" t="n">
        <v>1</v>
      </c>
      <c r="D226" s="12" t="s">
        <v>1111</v>
      </c>
      <c r="E226" s="12" t="s">
        <v>221</v>
      </c>
      <c r="F226" s="12" t="str">
        <f aca="false">IF(COUNTIF('Item modifiers'!$C:$C,A226)&gt;0,"Yes","")</f>
        <v/>
      </c>
    </row>
    <row r="227" customFormat="false" ht="52.2" hidden="false" customHeight="false" outlineLevel="0" collapsed="false">
      <c r="A227" s="12" t="s">
        <v>575</v>
      </c>
      <c r="B227" s="12" t="s">
        <v>576</v>
      </c>
      <c r="C227" s="12" t="n">
        <v>36</v>
      </c>
      <c r="D227" s="12" t="s">
        <v>577</v>
      </c>
      <c r="E227" s="12" t="s">
        <v>578</v>
      </c>
      <c r="F227" s="12" t="str">
        <f aca="false">IF(COUNTIF('Item modifiers'!$C:$C,A227)&gt;0,"Yes","")</f>
        <v>Yes</v>
      </c>
    </row>
    <row r="228" customFormat="false" ht="26.85" hidden="false" customHeight="false" outlineLevel="0" collapsed="false">
      <c r="A228" s="12" t="s">
        <v>1112</v>
      </c>
      <c r="B228" s="12" t="s">
        <v>1113</v>
      </c>
      <c r="C228" s="12" t="n">
        <v>1</v>
      </c>
      <c r="D228" s="12" t="s">
        <v>1114</v>
      </c>
      <c r="E228" s="12" t="s">
        <v>1115</v>
      </c>
      <c r="F228" s="12" t="str">
        <f aca="false">IF(COUNTIF('Item modifiers'!$C:$C,A228)&gt;0,"Yes","")</f>
        <v/>
      </c>
    </row>
    <row r="229" customFormat="false" ht="15" hidden="false" customHeight="false" outlineLevel="0" collapsed="false">
      <c r="A229" s="12" t="s">
        <v>1116</v>
      </c>
      <c r="B229" s="12" t="s">
        <v>1117</v>
      </c>
      <c r="C229" s="12" t="n">
        <v>14</v>
      </c>
      <c r="D229" s="12" t="s">
        <v>780</v>
      </c>
      <c r="E229" s="12" t="s">
        <v>85</v>
      </c>
      <c r="F229" s="12" t="str">
        <f aca="false">IF(COUNTIF('Item modifiers'!$C:$C,A229)&gt;0,"Yes","")</f>
        <v/>
      </c>
    </row>
    <row r="230" customFormat="false" ht="26.85" hidden="false" customHeight="false" outlineLevel="0" collapsed="false">
      <c r="A230" s="12" t="s">
        <v>1118</v>
      </c>
      <c r="B230" s="12" t="s">
        <v>1119</v>
      </c>
      <c r="C230" s="12" t="n">
        <v>0</v>
      </c>
      <c r="D230" s="12" t="s">
        <v>629</v>
      </c>
      <c r="E230" s="12" t="s">
        <v>630</v>
      </c>
      <c r="F230" s="12" t="str">
        <f aca="false">IF(COUNTIF('Item modifiers'!$C:$C,A230)&gt;0,"Yes","")</f>
        <v/>
      </c>
    </row>
    <row r="231" customFormat="false" ht="15" hidden="false" customHeight="false" outlineLevel="0" collapsed="false">
      <c r="A231" s="12" t="s">
        <v>1120</v>
      </c>
      <c r="B231" s="12" t="s">
        <v>1121</v>
      </c>
      <c r="C231" s="12" t="n">
        <v>68</v>
      </c>
      <c r="D231" s="12" t="s">
        <v>636</v>
      </c>
      <c r="E231" s="12" t="s">
        <v>221</v>
      </c>
      <c r="F231" s="12" t="str">
        <f aca="false">IF(COUNTIF('Item modifiers'!$C:$C,A231)&gt;0,"Yes","")</f>
        <v/>
      </c>
    </row>
    <row r="232" customFormat="false" ht="15" hidden="false" customHeight="false" outlineLevel="0" collapsed="false">
      <c r="A232" s="12" t="s">
        <v>1122</v>
      </c>
      <c r="B232" s="12" t="s">
        <v>1123</v>
      </c>
      <c r="C232" s="12" t="n">
        <v>65</v>
      </c>
      <c r="D232" s="12" t="s">
        <v>1124</v>
      </c>
      <c r="E232" s="12" t="s">
        <v>1125</v>
      </c>
      <c r="F232" s="12" t="str">
        <f aca="false">IF(COUNTIF('Item modifiers'!$C:$C,A232)&gt;0,"Yes","")</f>
        <v/>
      </c>
    </row>
    <row r="233" customFormat="false" ht="15" hidden="false" customHeight="false" outlineLevel="0" collapsed="false">
      <c r="A233" s="12" t="s">
        <v>1126</v>
      </c>
      <c r="B233" s="12" t="s">
        <v>1127</v>
      </c>
      <c r="C233" s="12" t="n">
        <v>60</v>
      </c>
      <c r="D233" s="12" t="s">
        <v>262</v>
      </c>
      <c r="E233" s="12" t="s">
        <v>152</v>
      </c>
      <c r="F233" s="12" t="str">
        <f aca="false">IF(COUNTIF('Item modifiers'!$C:$C,A233)&gt;0,"Yes","")</f>
        <v/>
      </c>
    </row>
    <row r="234" customFormat="false" ht="15" hidden="false" customHeight="false" outlineLevel="0" collapsed="false">
      <c r="A234" s="12" t="s">
        <v>1128</v>
      </c>
      <c r="B234" s="12" t="s">
        <v>1129</v>
      </c>
      <c r="C234" s="12" t="n">
        <v>60</v>
      </c>
      <c r="D234" s="12" t="s">
        <v>262</v>
      </c>
      <c r="E234" s="12" t="s">
        <v>136</v>
      </c>
      <c r="F234" s="12" t="str">
        <f aca="false">IF(COUNTIF('Item modifiers'!$C:$C,A234)&gt;0,"Yes","")</f>
        <v/>
      </c>
    </row>
    <row r="235" customFormat="false" ht="15" hidden="false" customHeight="false" outlineLevel="0" collapsed="false">
      <c r="A235" s="12" t="s">
        <v>1130</v>
      </c>
      <c r="B235" s="12" t="s">
        <v>1131</v>
      </c>
      <c r="C235" s="12" t="n">
        <v>60</v>
      </c>
      <c r="D235" s="12" t="s">
        <v>262</v>
      </c>
      <c r="E235" s="12" t="s">
        <v>136</v>
      </c>
      <c r="F235" s="12" t="str">
        <f aca="false">IF(COUNTIF('Item modifiers'!$C:$C,A235)&gt;0,"Yes","")</f>
        <v/>
      </c>
    </row>
    <row r="236" customFormat="false" ht="15" hidden="false" customHeight="false" outlineLevel="0" collapsed="false">
      <c r="A236" s="12" t="s">
        <v>1132</v>
      </c>
      <c r="B236" s="12" t="s">
        <v>1133</v>
      </c>
      <c r="C236" s="12" t="n">
        <v>60</v>
      </c>
      <c r="D236" s="12" t="s">
        <v>262</v>
      </c>
      <c r="E236" s="12" t="s">
        <v>136</v>
      </c>
      <c r="F236" s="12" t="str">
        <f aca="false">IF(COUNTIF('Item modifiers'!$C:$C,A236)&gt;0,"Yes","")</f>
        <v/>
      </c>
    </row>
    <row r="237" customFormat="false" ht="15" hidden="false" customHeight="false" outlineLevel="0" collapsed="false">
      <c r="A237" s="12" t="s">
        <v>1134</v>
      </c>
      <c r="B237" s="12" t="s">
        <v>1135</v>
      </c>
      <c r="C237" s="12" t="n">
        <v>20</v>
      </c>
      <c r="D237" s="12" t="s">
        <v>629</v>
      </c>
      <c r="E237" s="12" t="s">
        <v>85</v>
      </c>
      <c r="F237" s="12" t="str">
        <f aca="false">IF(COUNTIF('Item modifiers'!$C:$C,A237)&gt;0,"Yes","")</f>
        <v/>
      </c>
    </row>
    <row r="238" customFormat="false" ht="15" hidden="false" customHeight="false" outlineLevel="0" collapsed="false">
      <c r="A238" s="12" t="s">
        <v>1136</v>
      </c>
      <c r="B238" s="12" t="s">
        <v>1137</v>
      </c>
      <c r="C238" s="12" t="n">
        <v>45</v>
      </c>
      <c r="D238" s="12" t="s">
        <v>116</v>
      </c>
      <c r="E238" s="12" t="s">
        <v>221</v>
      </c>
      <c r="F238" s="12" t="str">
        <f aca="false">IF(COUNTIF('Item modifiers'!$C:$C,A238)&gt;0,"Yes","")</f>
        <v/>
      </c>
    </row>
    <row r="239" customFormat="false" ht="15" hidden="false" customHeight="false" outlineLevel="0" collapsed="false">
      <c r="A239" s="12" t="s">
        <v>1138</v>
      </c>
      <c r="B239" s="12" t="s">
        <v>1139</v>
      </c>
      <c r="C239" s="12" t="n">
        <v>45</v>
      </c>
      <c r="D239" s="12" t="s">
        <v>233</v>
      </c>
      <c r="E239" s="12" t="s">
        <v>221</v>
      </c>
      <c r="F239" s="12" t="str">
        <f aca="false">IF(COUNTIF('Item modifiers'!$C:$C,A239)&gt;0,"Yes","")</f>
        <v/>
      </c>
    </row>
    <row r="240" customFormat="false" ht="39.55" hidden="false" customHeight="false" outlineLevel="0" collapsed="false">
      <c r="A240" s="12" t="s">
        <v>1140</v>
      </c>
      <c r="B240" s="12" t="s">
        <v>1141</v>
      </c>
      <c r="C240" s="12" t="n">
        <v>5</v>
      </c>
      <c r="D240" s="12" t="s">
        <v>1142</v>
      </c>
      <c r="E240" s="12" t="s">
        <v>1143</v>
      </c>
      <c r="F240" s="12" t="str">
        <f aca="false">IF(COUNTIF('Item modifiers'!$C:$C,A240)&gt;0,"Yes","")</f>
        <v/>
      </c>
    </row>
    <row r="241" customFormat="false" ht="15" hidden="false" customHeight="false" outlineLevel="0" collapsed="false">
      <c r="A241" s="12" t="s">
        <v>1144</v>
      </c>
      <c r="B241" s="12" t="s">
        <v>1145</v>
      </c>
      <c r="C241" s="12" t="n">
        <v>45</v>
      </c>
      <c r="D241" s="12" t="s">
        <v>522</v>
      </c>
      <c r="E241" s="12" t="s">
        <v>221</v>
      </c>
      <c r="F241" s="12" t="str">
        <f aca="false">IF(COUNTIF('Item modifiers'!$C:$C,A241)&gt;0,"Yes","")</f>
        <v/>
      </c>
    </row>
    <row r="242" customFormat="false" ht="15" hidden="false" customHeight="false" outlineLevel="0" collapsed="false">
      <c r="A242" s="12" t="s">
        <v>1146</v>
      </c>
      <c r="B242" s="12" t="s">
        <v>1147</v>
      </c>
      <c r="C242" s="12" t="n">
        <v>45</v>
      </c>
      <c r="D242" s="12" t="s">
        <v>220</v>
      </c>
      <c r="E242" s="12" t="s">
        <v>221</v>
      </c>
      <c r="F242" s="12" t="str">
        <f aca="false">IF(COUNTIF('Item modifiers'!$C:$C,A242)&gt;0,"Yes","")</f>
        <v/>
      </c>
    </row>
    <row r="243" customFormat="false" ht="26.85" hidden="false" customHeight="false" outlineLevel="0" collapsed="false">
      <c r="A243" s="12" t="s">
        <v>1148</v>
      </c>
      <c r="B243" s="12" t="s">
        <v>1149</v>
      </c>
      <c r="C243" s="12" t="n">
        <v>1</v>
      </c>
      <c r="D243" s="12" t="s">
        <v>1150</v>
      </c>
      <c r="E243" s="12" t="s">
        <v>221</v>
      </c>
      <c r="F243" s="12" t="str">
        <f aca="false">IF(COUNTIF('Item modifiers'!$C:$C,A243)&gt;0,"Yes","")</f>
        <v/>
      </c>
    </row>
    <row r="244" customFormat="false" ht="15" hidden="false" customHeight="false" outlineLevel="0" collapsed="false">
      <c r="A244" s="12" t="s">
        <v>1151</v>
      </c>
      <c r="B244" s="12" t="s">
        <v>1152</v>
      </c>
      <c r="C244" s="12" t="n">
        <v>1</v>
      </c>
      <c r="D244" s="12" t="s">
        <v>1153</v>
      </c>
      <c r="E244" s="12" t="s">
        <v>221</v>
      </c>
      <c r="F244" s="12" t="str">
        <f aca="false">IF(COUNTIF('Item modifiers'!$C:$C,A244)&gt;0,"Yes","")</f>
        <v/>
      </c>
    </row>
    <row r="245" customFormat="false" ht="15" hidden="false" customHeight="false" outlineLevel="0" collapsed="false">
      <c r="A245" s="12" t="s">
        <v>1154</v>
      </c>
      <c r="B245" s="12" t="s">
        <v>1155</v>
      </c>
      <c r="C245" s="12" t="n">
        <v>1</v>
      </c>
      <c r="D245" s="12" t="s">
        <v>233</v>
      </c>
      <c r="E245" s="12" t="s">
        <v>221</v>
      </c>
      <c r="F245" s="12" t="str">
        <f aca="false">IF(COUNTIF('Item modifiers'!$C:$C,A245)&gt;0,"Yes","")</f>
        <v/>
      </c>
    </row>
    <row r="246" customFormat="false" ht="15" hidden="false" customHeight="false" outlineLevel="0" collapsed="false">
      <c r="A246" s="12" t="s">
        <v>1156</v>
      </c>
      <c r="B246" s="12" t="s">
        <v>1157</v>
      </c>
      <c r="C246" s="12" t="n">
        <v>1</v>
      </c>
      <c r="D246" s="12" t="s">
        <v>98</v>
      </c>
      <c r="E246" s="12" t="s">
        <v>117</v>
      </c>
      <c r="F246" s="12" t="str">
        <f aca="false">IF(COUNTIF('Item modifiers'!$C:$C,A246)&gt;0,"Yes","")</f>
        <v/>
      </c>
    </row>
    <row r="247" customFormat="false" ht="26.85" hidden="false" customHeight="false" outlineLevel="0" collapsed="false">
      <c r="A247" s="12" t="s">
        <v>1158</v>
      </c>
      <c r="B247" s="12" t="s">
        <v>1159</v>
      </c>
      <c r="C247" s="12" t="n">
        <v>1</v>
      </c>
      <c r="D247" s="12" t="s">
        <v>1114</v>
      </c>
      <c r="E247" s="12" t="s">
        <v>1115</v>
      </c>
      <c r="F247" s="12" t="str">
        <f aca="false">IF(COUNTIF('Item modifiers'!$C:$C,A247)&gt;0,"Yes","")</f>
        <v/>
      </c>
    </row>
    <row r="248" customFormat="false" ht="15" hidden="false" customHeight="false" outlineLevel="0" collapsed="false">
      <c r="A248" s="12" t="s">
        <v>619</v>
      </c>
      <c r="B248" s="12" t="s">
        <v>620</v>
      </c>
      <c r="C248" s="12" t="n">
        <v>1</v>
      </c>
      <c r="D248" s="12" t="s">
        <v>621</v>
      </c>
      <c r="E248" s="12" t="s">
        <v>221</v>
      </c>
      <c r="F248" s="12" t="str">
        <f aca="false">IF(COUNTIF('Item modifiers'!$C:$C,A248)&gt;0,"Yes","")</f>
        <v>Yes</v>
      </c>
    </row>
    <row r="249" customFormat="false" ht="26.85" hidden="false" customHeight="false" outlineLevel="0" collapsed="false">
      <c r="A249" s="12" t="s">
        <v>1160</v>
      </c>
      <c r="B249" s="12" t="s">
        <v>1161</v>
      </c>
      <c r="C249" s="12" t="n">
        <v>75</v>
      </c>
      <c r="D249" s="12" t="s">
        <v>262</v>
      </c>
      <c r="E249" s="12" t="s">
        <v>289</v>
      </c>
      <c r="F249" s="12" t="str">
        <f aca="false">IF(COUNTIF('Item modifiers'!$C:$C,A249)&gt;0,"Yes","")</f>
        <v/>
      </c>
    </row>
    <row r="250" customFormat="false" ht="26.85" hidden="false" customHeight="false" outlineLevel="0" collapsed="false">
      <c r="A250" s="12" t="s">
        <v>1162</v>
      </c>
      <c r="B250" s="12" t="s">
        <v>1163</v>
      </c>
      <c r="C250" s="12" t="n">
        <v>1</v>
      </c>
      <c r="D250" s="12" t="s">
        <v>84</v>
      </c>
      <c r="E250" s="12" t="s">
        <v>85</v>
      </c>
      <c r="F250" s="12" t="str">
        <f aca="false">IF(COUNTIF('Item modifiers'!$C:$C,A250)&gt;0,"Yes","")</f>
        <v/>
      </c>
    </row>
    <row r="251" customFormat="false" ht="26.85" hidden="false" customHeight="false" outlineLevel="0" collapsed="false">
      <c r="A251" s="12" t="s">
        <v>1164</v>
      </c>
      <c r="B251" s="12" t="s">
        <v>1165</v>
      </c>
      <c r="C251" s="12" t="n">
        <v>1</v>
      </c>
      <c r="D251" s="12" t="s">
        <v>84</v>
      </c>
      <c r="E251" s="12" t="s">
        <v>85</v>
      </c>
      <c r="F251" s="12" t="str">
        <f aca="false">IF(COUNTIF('Item modifiers'!$C:$C,A251)&gt;0,"Yes","")</f>
        <v/>
      </c>
    </row>
    <row r="252" customFormat="false" ht="64.9" hidden="false" customHeight="false" outlineLevel="0" collapsed="false">
      <c r="A252" s="12" t="s">
        <v>410</v>
      </c>
      <c r="B252" s="12" t="s">
        <v>411</v>
      </c>
      <c r="C252" s="12" t="n">
        <v>1</v>
      </c>
      <c r="D252" s="12" t="s">
        <v>412</v>
      </c>
      <c r="E252" s="12" t="s">
        <v>413</v>
      </c>
      <c r="F252" s="12" t="str">
        <f aca="false">IF(COUNTIF('Item modifiers'!$C:$C,A252)&gt;0,"Yes","")</f>
        <v>Yes</v>
      </c>
    </row>
    <row r="253" customFormat="false" ht="26.85" hidden="false" customHeight="false" outlineLevel="0" collapsed="false">
      <c r="A253" s="12" t="s">
        <v>1166</v>
      </c>
      <c r="B253" s="12" t="s">
        <v>1167</v>
      </c>
      <c r="C253" s="12" t="n">
        <v>44</v>
      </c>
      <c r="D253" s="12" t="s">
        <v>174</v>
      </c>
      <c r="E253" s="12" t="s">
        <v>85</v>
      </c>
      <c r="F253" s="12" t="str">
        <f aca="false">IF(COUNTIF('Item modifiers'!$C:$C,A253)&gt;0,"Yes","")</f>
        <v/>
      </c>
    </row>
    <row r="254" customFormat="false" ht="26.85" hidden="false" customHeight="false" outlineLevel="0" collapsed="false">
      <c r="A254" s="12" t="s">
        <v>1168</v>
      </c>
      <c r="B254" s="12" t="s">
        <v>1169</v>
      </c>
      <c r="C254" s="12" t="n">
        <v>1</v>
      </c>
      <c r="D254" s="12" t="s">
        <v>1025</v>
      </c>
      <c r="E254" s="12" t="s">
        <v>85</v>
      </c>
      <c r="F254" s="12" t="str">
        <f aca="false">IF(COUNTIF('Item modifiers'!$C:$C,A254)&gt;0,"Yes","")</f>
        <v/>
      </c>
    </row>
    <row r="255" customFormat="false" ht="64.9" hidden="false" customHeight="false" outlineLevel="0" collapsed="false">
      <c r="A255" s="12" t="s">
        <v>199</v>
      </c>
      <c r="B255" s="12" t="s">
        <v>200</v>
      </c>
      <c r="C255" s="12" t="n">
        <v>1</v>
      </c>
      <c r="D255" s="12" t="s">
        <v>201</v>
      </c>
      <c r="E255" s="12" t="s">
        <v>195</v>
      </c>
      <c r="F255" s="12" t="str">
        <f aca="false">IF(COUNTIF('Item modifiers'!$C:$C,A255)&gt;0,"Yes","")</f>
        <v>Yes</v>
      </c>
    </row>
    <row r="256" customFormat="false" ht="15" hidden="false" customHeight="false" outlineLevel="0" collapsed="false">
      <c r="A256" s="12" t="s">
        <v>1170</v>
      </c>
      <c r="B256" s="12" t="s">
        <v>1171</v>
      </c>
      <c r="C256" s="12" t="n">
        <v>1</v>
      </c>
      <c r="D256" s="12" t="s">
        <v>84</v>
      </c>
      <c r="E256" s="12" t="s">
        <v>85</v>
      </c>
      <c r="F256" s="12" t="str">
        <f aca="false">IF(COUNTIF('Item modifiers'!$C:$C,A256)&gt;0,"Yes","")</f>
        <v/>
      </c>
    </row>
    <row r="257" customFormat="false" ht="15" hidden="false" customHeight="false" outlineLevel="0" collapsed="false">
      <c r="A257" s="12" t="s">
        <v>1172</v>
      </c>
      <c r="B257" s="12" t="s">
        <v>1173</v>
      </c>
      <c r="C257" s="12" t="n">
        <v>1</v>
      </c>
      <c r="D257" s="12" t="s">
        <v>1025</v>
      </c>
      <c r="E257" s="12" t="s">
        <v>85</v>
      </c>
      <c r="F257" s="12" t="str">
        <f aca="false">IF(COUNTIF('Item modifiers'!$C:$C,A257)&gt;0,"Yes","")</f>
        <v/>
      </c>
    </row>
    <row r="258" customFormat="false" ht="52.2" hidden="false" customHeight="false" outlineLevel="0" collapsed="false">
      <c r="A258" s="12" t="s">
        <v>1174</v>
      </c>
      <c r="B258" s="12" t="s">
        <v>1175</v>
      </c>
      <c r="C258" s="12" t="n">
        <v>1</v>
      </c>
      <c r="D258" s="12" t="s">
        <v>1176</v>
      </c>
      <c r="E258" s="12" t="s">
        <v>1177</v>
      </c>
      <c r="F258" s="12" t="str">
        <f aca="false">IF(COUNTIF('Item modifiers'!$C:$C,A258)&gt;0,"Yes","")</f>
        <v/>
      </c>
    </row>
    <row r="259" customFormat="false" ht="26.85" hidden="false" customHeight="false" outlineLevel="0" collapsed="false">
      <c r="A259" s="12" t="s">
        <v>1178</v>
      </c>
      <c r="B259" s="12" t="s">
        <v>1179</v>
      </c>
      <c r="C259" s="12" t="n">
        <v>60</v>
      </c>
      <c r="D259" s="12" t="s">
        <v>1124</v>
      </c>
      <c r="E259" s="12" t="s">
        <v>188</v>
      </c>
      <c r="F259" s="12" t="str">
        <f aca="false">IF(COUNTIF('Item modifiers'!$C:$C,A259)&gt;0,"Yes","")</f>
        <v/>
      </c>
    </row>
    <row r="260" customFormat="false" ht="26.85" hidden="false" customHeight="false" outlineLevel="0" collapsed="false">
      <c r="A260" s="12" t="s">
        <v>499</v>
      </c>
      <c r="B260" s="12" t="s">
        <v>499</v>
      </c>
      <c r="C260" s="12" t="n">
        <v>68</v>
      </c>
      <c r="D260" s="12" t="s">
        <v>262</v>
      </c>
      <c r="E260" s="12" t="s">
        <v>383</v>
      </c>
      <c r="F260" s="12" t="str">
        <f aca="false">IF(COUNTIF('Item modifiers'!$C:$C,A260)&gt;0,"Yes","")</f>
        <v>Yes</v>
      </c>
    </row>
    <row r="261" customFormat="false" ht="26.85" hidden="false" customHeight="false" outlineLevel="0" collapsed="false">
      <c r="A261" s="12" t="s">
        <v>1180</v>
      </c>
      <c r="B261" s="12" t="s">
        <v>1181</v>
      </c>
      <c r="C261" s="12" t="n">
        <v>68</v>
      </c>
      <c r="D261" s="12" t="s">
        <v>233</v>
      </c>
      <c r="E261" s="12" t="s">
        <v>70</v>
      </c>
      <c r="F261" s="12" t="str">
        <f aca="false">IF(COUNTIF('Item modifiers'!$C:$C,A261)&gt;0,"Yes","")</f>
        <v/>
      </c>
    </row>
    <row r="262" customFormat="false" ht="52.2" hidden="false" customHeight="false" outlineLevel="0" collapsed="false">
      <c r="A262" s="12" t="s">
        <v>46</v>
      </c>
      <c r="B262" s="12" t="s">
        <v>47</v>
      </c>
      <c r="C262" s="12" t="n">
        <v>2</v>
      </c>
      <c r="D262" s="12" t="s">
        <v>48</v>
      </c>
      <c r="E262" s="12" t="s">
        <v>49</v>
      </c>
      <c r="F262" s="12" t="str">
        <f aca="false">IF(COUNTIF('Item modifiers'!$C:$C,A262)&gt;0,"Yes","")</f>
        <v>Yes</v>
      </c>
    </row>
    <row r="263" customFormat="false" ht="39.55" hidden="false" customHeight="false" outlineLevel="0" collapsed="false">
      <c r="A263" s="12" t="s">
        <v>1182</v>
      </c>
      <c r="B263" s="12" t="s">
        <v>1183</v>
      </c>
      <c r="C263" s="12" t="n">
        <v>72</v>
      </c>
      <c r="D263" s="12" t="s">
        <v>40</v>
      </c>
      <c r="E263" s="12" t="s">
        <v>208</v>
      </c>
      <c r="F263" s="12" t="str">
        <f aca="false">IF(COUNTIF('Item modifiers'!$C:$C,A263)&gt;0,"Yes","")</f>
        <v/>
      </c>
    </row>
    <row r="264" customFormat="false" ht="26.85" hidden="false" customHeight="false" outlineLevel="0" collapsed="false">
      <c r="A264" s="12" t="s">
        <v>114</v>
      </c>
      <c r="B264" s="12" t="s">
        <v>115</v>
      </c>
      <c r="C264" s="12" t="n">
        <v>1</v>
      </c>
      <c r="D264" s="12" t="s">
        <v>116</v>
      </c>
      <c r="E264" s="12" t="s">
        <v>117</v>
      </c>
      <c r="F264" s="12" t="str">
        <f aca="false">IF(COUNTIF('Item modifiers'!$C:$C,A264)&gt;0,"Yes","")</f>
        <v>Yes</v>
      </c>
    </row>
    <row r="265" customFormat="false" ht="26.85" hidden="false" customHeight="false" outlineLevel="0" collapsed="false">
      <c r="A265" s="12" t="s">
        <v>1184</v>
      </c>
      <c r="B265" s="12" t="s">
        <v>1185</v>
      </c>
      <c r="C265" s="12" t="n">
        <v>1</v>
      </c>
      <c r="D265" s="12" t="s">
        <v>116</v>
      </c>
      <c r="E265" s="12" t="s">
        <v>117</v>
      </c>
      <c r="F265" s="12" t="str">
        <f aca="false">IF(COUNTIF('Item modifiers'!$C:$C,A265)&gt;0,"Yes","")</f>
        <v/>
      </c>
    </row>
    <row r="266" customFormat="false" ht="26.85" hidden="false" customHeight="false" outlineLevel="0" collapsed="false">
      <c r="A266" s="12" t="s">
        <v>1186</v>
      </c>
      <c r="B266" s="12" t="s">
        <v>1187</v>
      </c>
      <c r="C266" s="12" t="n">
        <v>5</v>
      </c>
      <c r="D266" s="12" t="s">
        <v>1188</v>
      </c>
      <c r="E266" s="12" t="s">
        <v>1189</v>
      </c>
      <c r="F266" s="12" t="str">
        <f aca="false">IF(COUNTIF('Item modifiers'!$C:$C,A266)&gt;0,"Yes","")</f>
        <v/>
      </c>
    </row>
    <row r="267" customFormat="false" ht="26.85" hidden="false" customHeight="false" outlineLevel="0" collapsed="false">
      <c r="A267" s="12" t="s">
        <v>1190</v>
      </c>
      <c r="B267" s="12" t="s">
        <v>1190</v>
      </c>
      <c r="C267" s="12" t="n">
        <v>68</v>
      </c>
      <c r="D267" s="12" t="s">
        <v>262</v>
      </c>
      <c r="E267" s="12" t="s">
        <v>383</v>
      </c>
      <c r="F267" s="12" t="str">
        <f aca="false">IF(COUNTIF('Item modifiers'!$C:$C,A267)&gt;0,"Yes","")</f>
        <v/>
      </c>
    </row>
    <row r="268" customFormat="false" ht="15" hidden="false" customHeight="false" outlineLevel="0" collapsed="false">
      <c r="A268" s="12" t="s">
        <v>1191</v>
      </c>
      <c r="B268" s="12" t="s">
        <v>1191</v>
      </c>
      <c r="C268" s="12" t="n">
        <v>68</v>
      </c>
      <c r="D268" s="12" t="s">
        <v>116</v>
      </c>
      <c r="E268" s="12" t="s">
        <v>221</v>
      </c>
      <c r="F268" s="12" t="str">
        <f aca="false">IF(COUNTIF('Item modifiers'!$C:$C,A268)&gt;0,"Yes","")</f>
        <v/>
      </c>
    </row>
    <row r="269" customFormat="false" ht="26.85" hidden="false" customHeight="false" outlineLevel="0" collapsed="false">
      <c r="A269" s="12" t="s">
        <v>520</v>
      </c>
      <c r="B269" s="12" t="s">
        <v>521</v>
      </c>
      <c r="C269" s="12" t="n">
        <v>34</v>
      </c>
      <c r="D269" s="12" t="s">
        <v>522</v>
      </c>
      <c r="E269" s="12" t="s">
        <v>523</v>
      </c>
      <c r="F269" s="12" t="str">
        <f aca="false">IF(COUNTIF('Item modifiers'!$C:$C,A269)&gt;0,"Yes","")</f>
        <v>Yes</v>
      </c>
    </row>
    <row r="270" customFormat="false" ht="39.55" hidden="false" customHeight="false" outlineLevel="0" collapsed="false">
      <c r="A270" s="12" t="s">
        <v>1192</v>
      </c>
      <c r="B270" s="12" t="s">
        <v>1193</v>
      </c>
      <c r="C270" s="12" t="n">
        <v>1</v>
      </c>
      <c r="D270" s="12" t="s">
        <v>527</v>
      </c>
      <c r="E270" s="12" t="s">
        <v>390</v>
      </c>
      <c r="F270" s="12" t="str">
        <f aca="false">IF(COUNTIF('Item modifiers'!$C:$C,A270)&gt;0,"Yes","")</f>
        <v/>
      </c>
    </row>
    <row r="271" customFormat="false" ht="26.85" hidden="false" customHeight="false" outlineLevel="0" collapsed="false">
      <c r="A271" s="12" t="s">
        <v>1194</v>
      </c>
      <c r="B271" s="12" t="s">
        <v>1195</v>
      </c>
      <c r="C271" s="12" t="n">
        <v>1</v>
      </c>
      <c r="D271" s="12" t="s">
        <v>98</v>
      </c>
      <c r="E271" s="12" t="s">
        <v>85</v>
      </c>
      <c r="F271" s="12" t="str">
        <f aca="false">IF(COUNTIF('Item modifiers'!$C:$C,A271)&gt;0,"Yes","")</f>
        <v/>
      </c>
    </row>
    <row r="272" customFormat="false" ht="26.85" hidden="false" customHeight="false" outlineLevel="0" collapsed="false">
      <c r="A272" s="12" t="s">
        <v>1196</v>
      </c>
      <c r="B272" s="12" t="s">
        <v>1197</v>
      </c>
      <c r="C272" s="12" t="n">
        <v>60</v>
      </c>
      <c r="D272" s="12" t="s">
        <v>116</v>
      </c>
      <c r="E272" s="12" t="s">
        <v>117</v>
      </c>
      <c r="F272" s="12" t="str">
        <f aca="false">IF(COUNTIF('Item modifiers'!$C:$C,A272)&gt;0,"Yes","")</f>
        <v/>
      </c>
    </row>
    <row r="273" customFormat="false" ht="15" hidden="false" customHeight="false" outlineLevel="0" collapsed="false">
      <c r="A273" s="12" t="s">
        <v>185</v>
      </c>
      <c r="B273" s="12" t="s">
        <v>186</v>
      </c>
      <c r="C273" s="12" t="n">
        <v>60</v>
      </c>
      <c r="D273" s="12" t="s">
        <v>187</v>
      </c>
      <c r="E273" s="12" t="s">
        <v>188</v>
      </c>
      <c r="F273" s="12" t="str">
        <f aca="false">IF(COUNTIF('Item modifiers'!$C:$C,A273)&gt;0,"Yes","")</f>
        <v>Yes</v>
      </c>
    </row>
    <row r="274" customFormat="false" ht="15" hidden="false" customHeight="false" outlineLevel="0" collapsed="false">
      <c r="A274" s="12" t="s">
        <v>1198</v>
      </c>
      <c r="B274" s="12" t="s">
        <v>1198</v>
      </c>
      <c r="C274" s="12" t="n">
        <v>56</v>
      </c>
      <c r="D274" s="12" t="s">
        <v>1199</v>
      </c>
      <c r="E274" s="12" t="s">
        <v>188</v>
      </c>
      <c r="F274" s="12" t="str">
        <f aca="false">IF(COUNTIF('Item modifiers'!$C:$C,A274)&gt;0,"Yes","")</f>
        <v/>
      </c>
    </row>
    <row r="275" customFormat="false" ht="52.2" hidden="false" customHeight="false" outlineLevel="0" collapsed="false">
      <c r="A275" s="12" t="s">
        <v>369</v>
      </c>
      <c r="B275" s="12" t="s">
        <v>370</v>
      </c>
      <c r="C275" s="12" t="n">
        <v>36</v>
      </c>
      <c r="D275" s="12" t="s">
        <v>371</v>
      </c>
      <c r="E275" s="12" t="s">
        <v>372</v>
      </c>
      <c r="F275" s="12" t="str">
        <f aca="false">IF(COUNTIF('Item modifiers'!$C:$C,A275)&gt;0,"Yes","")</f>
        <v>Yes</v>
      </c>
    </row>
    <row r="276" customFormat="false" ht="26.85" hidden="false" customHeight="false" outlineLevel="0" collapsed="false">
      <c r="A276" s="12" t="s">
        <v>1200</v>
      </c>
      <c r="B276" s="12" t="s">
        <v>1200</v>
      </c>
      <c r="C276" s="12" t="n">
        <v>68</v>
      </c>
      <c r="D276" s="12" t="s">
        <v>262</v>
      </c>
      <c r="E276" s="12" t="s">
        <v>383</v>
      </c>
      <c r="F276" s="12" t="str">
        <f aca="false">IF(COUNTIF('Item modifiers'!$C:$C,A276)&gt;0,"Yes","")</f>
        <v/>
      </c>
    </row>
    <row r="277" customFormat="false" ht="26.85" hidden="false" customHeight="false" outlineLevel="0" collapsed="false">
      <c r="A277" s="12" t="s">
        <v>1201</v>
      </c>
      <c r="B277" s="12" t="s">
        <v>1201</v>
      </c>
      <c r="C277" s="12" t="n">
        <v>68</v>
      </c>
      <c r="D277" s="12" t="s">
        <v>262</v>
      </c>
      <c r="E277" s="12" t="s">
        <v>383</v>
      </c>
      <c r="F277" s="12" t="str">
        <f aca="false">IF(COUNTIF('Item modifiers'!$C:$C,A277)&gt;0,"Yes","")</f>
        <v/>
      </c>
    </row>
    <row r="278" customFormat="false" ht="64.9" hidden="false" customHeight="false" outlineLevel="0" collapsed="false">
      <c r="A278" s="12" t="s">
        <v>647</v>
      </c>
      <c r="B278" s="12" t="s">
        <v>648</v>
      </c>
      <c r="C278" s="12" t="n">
        <v>1</v>
      </c>
      <c r="D278" s="12" t="s">
        <v>642</v>
      </c>
      <c r="E278" s="12" t="s">
        <v>208</v>
      </c>
      <c r="F278" s="12" t="str">
        <f aca="false">IF(COUNTIF('Item modifiers'!$C:$C,A278)&gt;0,"Yes","")</f>
        <v>Yes</v>
      </c>
    </row>
    <row r="279" customFormat="false" ht="15" hidden="false" customHeight="false" outlineLevel="0" collapsed="false">
      <c r="A279" s="12" t="s">
        <v>503</v>
      </c>
      <c r="B279" s="12" t="s">
        <v>503</v>
      </c>
      <c r="C279" s="12" t="n">
        <v>45</v>
      </c>
      <c r="D279" s="12" t="s">
        <v>233</v>
      </c>
      <c r="E279" s="12" t="s">
        <v>221</v>
      </c>
      <c r="F279" s="12" t="str">
        <f aca="false">IF(COUNTIF('Item modifiers'!$C:$C,A279)&gt;0,"Yes","")</f>
        <v>Yes</v>
      </c>
    </row>
    <row r="280" customFormat="false" ht="15" hidden="false" customHeight="false" outlineLevel="0" collapsed="false">
      <c r="A280" s="12" t="s">
        <v>1202</v>
      </c>
      <c r="B280" s="12" t="s">
        <v>1202</v>
      </c>
      <c r="C280" s="12" t="n">
        <v>1</v>
      </c>
      <c r="D280" s="12" t="s">
        <v>295</v>
      </c>
      <c r="E280" s="12" t="s">
        <v>1203</v>
      </c>
      <c r="F280" s="12" t="str">
        <f aca="false">IF(COUNTIF('Item modifiers'!$C:$C,A280)&gt;0,"Yes","")</f>
        <v/>
      </c>
    </row>
    <row r="281" customFormat="false" ht="26.85" hidden="false" customHeight="false" outlineLevel="0" collapsed="false">
      <c r="A281" s="12" t="s">
        <v>1204</v>
      </c>
      <c r="B281" s="12" t="s">
        <v>1204</v>
      </c>
      <c r="C281" s="12" t="n">
        <v>1</v>
      </c>
      <c r="D281" s="12" t="s">
        <v>1205</v>
      </c>
      <c r="E281" s="12" t="s">
        <v>1206</v>
      </c>
      <c r="F281" s="12" t="str">
        <f aca="false">IF(COUNTIF('Item modifiers'!$C:$C,A281)&gt;0,"Yes","")</f>
        <v/>
      </c>
    </row>
    <row r="282" customFormat="false" ht="15" hidden="false" customHeight="false" outlineLevel="0" collapsed="false">
      <c r="A282" s="12" t="s">
        <v>1207</v>
      </c>
      <c r="B282" s="12" t="s">
        <v>1207</v>
      </c>
      <c r="C282" s="12" t="n">
        <v>50</v>
      </c>
      <c r="D282" s="12" t="s">
        <v>233</v>
      </c>
      <c r="E282" s="12" t="s">
        <v>584</v>
      </c>
      <c r="F282" s="12" t="str">
        <f aca="false">IF(COUNTIF('Item modifiers'!$C:$C,A282)&gt;0,"Yes","")</f>
        <v/>
      </c>
    </row>
    <row r="283" customFormat="false" ht="15" hidden="false" customHeight="false" outlineLevel="0" collapsed="false">
      <c r="A283" s="12" t="s">
        <v>1208</v>
      </c>
      <c r="B283" s="12" t="s">
        <v>1208</v>
      </c>
      <c r="C283" s="12" t="n">
        <v>40</v>
      </c>
      <c r="D283" s="12" t="s">
        <v>1209</v>
      </c>
      <c r="E283" s="12" t="s">
        <v>1210</v>
      </c>
      <c r="F283" s="12" t="str">
        <f aca="false">IF(COUNTIF('Item modifiers'!$C:$C,A283)&gt;0,"Yes","")</f>
        <v/>
      </c>
    </row>
    <row r="284" customFormat="false" ht="15" hidden="false" customHeight="false" outlineLevel="0" collapsed="false">
      <c r="A284" s="12" t="s">
        <v>1211</v>
      </c>
      <c r="B284" s="12" t="s">
        <v>1211</v>
      </c>
      <c r="C284" s="12" t="n">
        <v>68</v>
      </c>
      <c r="D284" s="12" t="s">
        <v>151</v>
      </c>
      <c r="E284" s="12" t="s">
        <v>221</v>
      </c>
      <c r="F284" s="12" t="str">
        <f aca="false">IF(COUNTIF('Item modifiers'!$C:$C,A284)&gt;0,"Yes","")</f>
        <v/>
      </c>
    </row>
    <row r="285" customFormat="false" ht="64.9" hidden="false" customHeight="false" outlineLevel="0" collapsed="false">
      <c r="A285" s="12" t="s">
        <v>1212</v>
      </c>
      <c r="B285" s="12" t="s">
        <v>1212</v>
      </c>
      <c r="C285" s="12" t="n">
        <v>1</v>
      </c>
      <c r="D285" s="12" t="s">
        <v>642</v>
      </c>
      <c r="E285" s="12" t="s">
        <v>208</v>
      </c>
      <c r="F285" s="12" t="str">
        <f aca="false">IF(COUNTIF('Item modifiers'!$C:$C,A285)&gt;0,"Yes","")</f>
        <v/>
      </c>
    </row>
    <row r="286" customFormat="false" ht="15" hidden="false" customHeight="false" outlineLevel="0" collapsed="false">
      <c r="A286" s="12" t="s">
        <v>1213</v>
      </c>
      <c r="B286" s="12" t="s">
        <v>1213</v>
      </c>
      <c r="C286" s="12" t="n">
        <v>68</v>
      </c>
      <c r="D286" s="12" t="s">
        <v>262</v>
      </c>
      <c r="E286" s="12" t="s">
        <v>70</v>
      </c>
      <c r="F286" s="12" t="str">
        <f aca="false">IF(COUNTIF('Item modifiers'!$C:$C,A286)&gt;0,"Yes","")</f>
        <v/>
      </c>
    </row>
    <row r="287" customFormat="false" ht="26.85" hidden="false" customHeight="false" outlineLevel="0" collapsed="false">
      <c r="A287" s="12" t="s">
        <v>1214</v>
      </c>
      <c r="B287" s="12" t="s">
        <v>1214</v>
      </c>
      <c r="C287" s="12" t="n">
        <v>33</v>
      </c>
      <c r="D287" s="12" t="s">
        <v>1215</v>
      </c>
      <c r="E287" s="12" t="s">
        <v>1216</v>
      </c>
      <c r="F287" s="12" t="str">
        <f aca="false">IF(COUNTIF('Item modifiers'!$C:$C,A287)&gt;0,"Yes","")</f>
        <v/>
      </c>
    </row>
    <row r="288" customFormat="false" ht="26.85" hidden="false" customHeight="false" outlineLevel="0" collapsed="false">
      <c r="A288" s="12" t="s">
        <v>1217</v>
      </c>
      <c r="B288" s="12" t="s">
        <v>1218</v>
      </c>
      <c r="C288" s="12" t="n">
        <v>45</v>
      </c>
      <c r="D288" s="12" t="s">
        <v>220</v>
      </c>
      <c r="E288" s="12" t="s">
        <v>70</v>
      </c>
      <c r="F288" s="12" t="str">
        <f aca="false">IF(COUNTIF('Item modifiers'!$C:$C,A288)&gt;0,"Yes","")</f>
        <v/>
      </c>
    </row>
    <row r="289" customFormat="false" ht="26.85" hidden="false" customHeight="false" outlineLevel="0" collapsed="false">
      <c r="A289" s="12" t="s">
        <v>1219</v>
      </c>
      <c r="B289" s="12" t="s">
        <v>1220</v>
      </c>
      <c r="C289" s="12" t="n">
        <v>45</v>
      </c>
      <c r="D289" s="12" t="s">
        <v>262</v>
      </c>
      <c r="E289" s="12" t="s">
        <v>70</v>
      </c>
      <c r="F289" s="12" t="str">
        <f aca="false">IF(COUNTIF('Item modifiers'!$C:$C,A289)&gt;0,"Yes","")</f>
        <v/>
      </c>
    </row>
    <row r="290" customFormat="false" ht="26.85" hidden="false" customHeight="false" outlineLevel="0" collapsed="false">
      <c r="A290" s="12" t="s">
        <v>382</v>
      </c>
      <c r="B290" s="12" t="s">
        <v>382</v>
      </c>
      <c r="C290" s="12" t="n">
        <v>68</v>
      </c>
      <c r="D290" s="12" t="s">
        <v>262</v>
      </c>
      <c r="E290" s="12" t="s">
        <v>383</v>
      </c>
      <c r="F290" s="12" t="str">
        <f aca="false">IF(COUNTIF('Item modifiers'!$C:$C,A290)&gt;0,"Yes","")</f>
        <v>Yes</v>
      </c>
    </row>
    <row r="291" customFormat="false" ht="39.55" hidden="false" customHeight="false" outlineLevel="0" collapsed="false">
      <c r="A291" s="12" t="s">
        <v>129</v>
      </c>
      <c r="B291" s="12" t="s">
        <v>129</v>
      </c>
      <c r="C291" s="12" t="n">
        <v>1</v>
      </c>
      <c r="D291" s="12" t="s">
        <v>40</v>
      </c>
      <c r="E291" s="12" t="s">
        <v>70</v>
      </c>
      <c r="F291" s="12" t="str">
        <f aca="false">IF(COUNTIF('Item modifiers'!$C:$C,A291)&gt;0,"Yes","")</f>
        <v>Yes</v>
      </c>
    </row>
    <row r="292" customFormat="false" ht="15" hidden="false" customHeight="false" outlineLevel="0" collapsed="false">
      <c r="A292" s="12" t="s">
        <v>1221</v>
      </c>
      <c r="B292" s="12" t="s">
        <v>1221</v>
      </c>
      <c r="C292" s="12" t="n">
        <v>45</v>
      </c>
      <c r="D292" s="12" t="s">
        <v>220</v>
      </c>
      <c r="E292" s="12" t="s">
        <v>221</v>
      </c>
      <c r="F292" s="12" t="str">
        <f aca="false">IF(COUNTIF('Item modifiers'!$C:$C,A292)&gt;0,"Yes","")</f>
        <v/>
      </c>
    </row>
    <row r="293" customFormat="false" ht="15" hidden="false" customHeight="false" outlineLevel="0" collapsed="false">
      <c r="A293" s="12" t="s">
        <v>1222</v>
      </c>
      <c r="B293" s="12" t="s">
        <v>1223</v>
      </c>
      <c r="C293" s="12" t="n">
        <v>1</v>
      </c>
      <c r="D293" s="12" t="s">
        <v>98</v>
      </c>
      <c r="E293" s="12" t="s">
        <v>85</v>
      </c>
      <c r="F293" s="12" t="str">
        <f aca="false">IF(COUNTIF('Item modifiers'!$C:$C,A293)&gt;0,"Yes","")</f>
        <v/>
      </c>
    </row>
    <row r="294" customFormat="false" ht="52.2" hidden="false" customHeight="false" outlineLevel="0" collapsed="false">
      <c r="A294" s="12" t="s">
        <v>1224</v>
      </c>
      <c r="B294" s="12" t="s">
        <v>1224</v>
      </c>
      <c r="C294" s="12" t="n">
        <v>1</v>
      </c>
      <c r="D294" s="12" t="s">
        <v>1225</v>
      </c>
      <c r="E294" s="12" t="s">
        <v>221</v>
      </c>
      <c r="F294" s="12" t="str">
        <f aca="false">IF(COUNTIF('Item modifiers'!$C:$C,A294)&gt;0,"Yes","")</f>
        <v/>
      </c>
    </row>
    <row r="295" customFormat="false" ht="26.85" hidden="false" customHeight="false" outlineLevel="0" collapsed="false">
      <c r="A295" s="12" t="s">
        <v>1226</v>
      </c>
      <c r="B295" s="12" t="s">
        <v>1227</v>
      </c>
      <c r="C295" s="12" t="n">
        <v>68</v>
      </c>
      <c r="D295" s="12" t="s">
        <v>636</v>
      </c>
      <c r="E295" s="12" t="s">
        <v>296</v>
      </c>
      <c r="F295" s="12" t="str">
        <f aca="false">IF(COUNTIF('Item modifiers'!$C:$C,A295)&gt;0,"Yes","")</f>
        <v/>
      </c>
    </row>
    <row r="296" customFormat="false" ht="26.85" hidden="false" customHeight="false" outlineLevel="0" collapsed="false">
      <c r="A296" s="12" t="s">
        <v>1228</v>
      </c>
      <c r="B296" s="12" t="s">
        <v>1228</v>
      </c>
      <c r="C296" s="12" t="n">
        <v>68</v>
      </c>
      <c r="D296" s="12" t="s">
        <v>262</v>
      </c>
      <c r="E296" s="12" t="s">
        <v>383</v>
      </c>
      <c r="F296" s="12" t="str">
        <f aca="false">IF(COUNTIF('Item modifiers'!$C:$C,A296)&gt;0,"Yes","")</f>
        <v/>
      </c>
    </row>
    <row r="297" customFormat="false" ht="26.85" hidden="false" customHeight="false" outlineLevel="0" collapsed="false">
      <c r="A297" s="12" t="s">
        <v>1229</v>
      </c>
      <c r="B297" s="12" t="s">
        <v>1229</v>
      </c>
      <c r="C297" s="12" t="n">
        <v>68</v>
      </c>
      <c r="D297" s="12" t="s">
        <v>262</v>
      </c>
      <c r="E297" s="12" t="s">
        <v>383</v>
      </c>
      <c r="F297" s="12" t="str">
        <f aca="false">IF(COUNTIF('Item modifiers'!$C:$C,A297)&gt;0,"Yes","")</f>
        <v/>
      </c>
    </row>
    <row r="298" customFormat="false" ht="26.85" hidden="false" customHeight="false" outlineLevel="0" collapsed="false">
      <c r="A298" s="12" t="s">
        <v>1230</v>
      </c>
      <c r="B298" s="12" t="s">
        <v>1231</v>
      </c>
      <c r="C298" s="12" t="n">
        <v>75</v>
      </c>
      <c r="D298" s="12" t="s">
        <v>233</v>
      </c>
      <c r="E298" s="12" t="s">
        <v>144</v>
      </c>
      <c r="F298" s="12" t="str">
        <f aca="false">IF(COUNTIF('Item modifiers'!$C:$C,A298)&gt;0,"Yes","")</f>
        <v/>
      </c>
    </row>
    <row r="299" customFormat="false" ht="26.85" hidden="false" customHeight="false" outlineLevel="0" collapsed="false">
      <c r="A299" s="12" t="s">
        <v>1232</v>
      </c>
      <c r="B299" s="12" t="s">
        <v>1233</v>
      </c>
      <c r="C299" s="12" t="n">
        <v>68</v>
      </c>
      <c r="D299" s="12" t="s">
        <v>636</v>
      </c>
      <c r="E299" s="12" t="s">
        <v>296</v>
      </c>
      <c r="F299" s="12" t="str">
        <f aca="false">IF(COUNTIF('Item modifiers'!$C:$C,A299)&gt;0,"Yes","")</f>
        <v/>
      </c>
    </row>
    <row r="300" customFormat="false" ht="15" hidden="false" customHeight="false" outlineLevel="0" collapsed="false">
      <c r="A300" s="12" t="s">
        <v>1234</v>
      </c>
      <c r="B300" s="12" t="s">
        <v>1234</v>
      </c>
      <c r="C300" s="12" t="n">
        <v>68</v>
      </c>
      <c r="D300" s="12" t="s">
        <v>262</v>
      </c>
      <c r="E300" s="12" t="s">
        <v>70</v>
      </c>
      <c r="F300" s="12" t="str">
        <f aca="false">IF(COUNTIF('Item modifiers'!$C:$C,A300)&gt;0,"Yes","")</f>
        <v/>
      </c>
    </row>
    <row r="301" customFormat="false" ht="26.85" hidden="false" customHeight="false" outlineLevel="0" collapsed="false">
      <c r="A301" s="12" t="s">
        <v>1235</v>
      </c>
      <c r="B301" s="12" t="s">
        <v>1236</v>
      </c>
      <c r="C301" s="12" t="n">
        <v>75</v>
      </c>
      <c r="D301" s="12" t="s">
        <v>262</v>
      </c>
      <c r="E301" s="12" t="s">
        <v>289</v>
      </c>
      <c r="F301" s="12" t="str">
        <f aca="false">IF(COUNTIF('Item modifiers'!$C:$C,A301)&gt;0,"Yes","")</f>
        <v/>
      </c>
    </row>
    <row r="302" customFormat="false" ht="15" hidden="false" customHeight="false" outlineLevel="0" collapsed="false">
      <c r="A302" s="12" t="s">
        <v>1237</v>
      </c>
      <c r="B302" s="12" t="s">
        <v>1238</v>
      </c>
      <c r="C302" s="12" t="n">
        <v>29</v>
      </c>
      <c r="D302" s="12" t="s">
        <v>780</v>
      </c>
      <c r="E302" s="12" t="s">
        <v>85</v>
      </c>
      <c r="F302" s="12" t="str">
        <f aca="false">IF(COUNTIF('Item modifiers'!$C:$C,A302)&gt;0,"Yes","")</f>
        <v/>
      </c>
    </row>
    <row r="303" customFormat="false" ht="26.85" hidden="false" customHeight="false" outlineLevel="0" collapsed="false">
      <c r="A303" s="12" t="s">
        <v>1239</v>
      </c>
      <c r="B303" s="12" t="s">
        <v>1240</v>
      </c>
      <c r="C303" s="12" t="n">
        <v>60</v>
      </c>
      <c r="D303" s="12" t="s">
        <v>262</v>
      </c>
      <c r="E303" s="12" t="s">
        <v>136</v>
      </c>
      <c r="F303" s="12" t="str">
        <f aca="false">IF(COUNTIF('Item modifiers'!$C:$C,A303)&gt;0,"Yes","")</f>
        <v/>
      </c>
    </row>
    <row r="304" customFormat="false" ht="15" hidden="false" customHeight="false" outlineLevel="0" collapsed="false">
      <c r="A304" s="12" t="s">
        <v>287</v>
      </c>
      <c r="B304" s="12" t="s">
        <v>288</v>
      </c>
      <c r="C304" s="12" t="n">
        <v>75</v>
      </c>
      <c r="D304" s="12" t="s">
        <v>116</v>
      </c>
      <c r="E304" s="12" t="s">
        <v>289</v>
      </c>
      <c r="F304" s="12" t="str">
        <f aca="false">IF(COUNTIF('Item modifiers'!$C:$C,A304)&gt;0,"Yes","")</f>
        <v>Yes</v>
      </c>
    </row>
    <row r="305" customFormat="false" ht="26.85" hidden="false" customHeight="false" outlineLevel="0" collapsed="false">
      <c r="A305" s="12" t="s">
        <v>1241</v>
      </c>
      <c r="B305" s="12" t="s">
        <v>1242</v>
      </c>
      <c r="C305" s="12" t="n">
        <v>65</v>
      </c>
      <c r="D305" s="12" t="s">
        <v>174</v>
      </c>
      <c r="E305" s="12" t="s">
        <v>136</v>
      </c>
      <c r="F305" s="12" t="str">
        <f aca="false">IF(COUNTIF('Item modifiers'!$C:$C,A305)&gt;0,"Yes","")</f>
        <v/>
      </c>
    </row>
    <row r="306" customFormat="false" ht="15" hidden="false" customHeight="false" outlineLevel="0" collapsed="false">
      <c r="A306" s="12" t="s">
        <v>335</v>
      </c>
      <c r="B306" s="12" t="s">
        <v>336</v>
      </c>
      <c r="C306" s="12" t="n">
        <v>75</v>
      </c>
      <c r="D306" s="12" t="s">
        <v>262</v>
      </c>
      <c r="E306" s="12" t="s">
        <v>289</v>
      </c>
      <c r="F306" s="12" t="str">
        <f aca="false">IF(COUNTIF('Item modifiers'!$C:$C,A306)&gt;0,"Yes","")</f>
        <v>Yes</v>
      </c>
    </row>
    <row r="307" customFormat="false" ht="15" hidden="false" customHeight="false" outlineLevel="0" collapsed="false">
      <c r="A307" s="12" t="s">
        <v>1243</v>
      </c>
      <c r="B307" s="12" t="s">
        <v>1244</v>
      </c>
      <c r="C307" s="12" t="n">
        <v>75</v>
      </c>
      <c r="D307" s="12" t="s">
        <v>262</v>
      </c>
      <c r="E307" s="12" t="s">
        <v>289</v>
      </c>
      <c r="F307" s="12" t="str">
        <f aca="false">IF(COUNTIF('Item modifiers'!$C:$C,A307)&gt;0,"Yes","")</f>
        <v/>
      </c>
    </row>
    <row r="308" customFormat="false" ht="15" hidden="false" customHeight="false" outlineLevel="0" collapsed="false">
      <c r="A308" s="12" t="s">
        <v>1245</v>
      </c>
      <c r="B308" s="12" t="s">
        <v>1246</v>
      </c>
      <c r="C308" s="12" t="n">
        <v>75</v>
      </c>
      <c r="D308" s="12" t="s">
        <v>262</v>
      </c>
      <c r="E308" s="12" t="s">
        <v>289</v>
      </c>
      <c r="F308" s="12" t="str">
        <f aca="false">IF(COUNTIF('Item modifiers'!$C:$C,A308)&gt;0,"Yes","")</f>
        <v/>
      </c>
    </row>
    <row r="309" customFormat="false" ht="26.85" hidden="false" customHeight="false" outlineLevel="0" collapsed="false">
      <c r="A309" s="12" t="s">
        <v>1247</v>
      </c>
      <c r="B309" s="12" t="s">
        <v>1248</v>
      </c>
      <c r="C309" s="12" t="n">
        <v>75</v>
      </c>
      <c r="D309" s="12" t="s">
        <v>233</v>
      </c>
      <c r="E309" s="12" t="s">
        <v>144</v>
      </c>
      <c r="F309" s="12" t="str">
        <f aca="false">IF(COUNTIF('Item modifiers'!$C:$C,A309)&gt;0,"Yes","")</f>
        <v/>
      </c>
    </row>
    <row r="310" customFormat="false" ht="26.85" hidden="false" customHeight="false" outlineLevel="0" collapsed="false">
      <c r="A310" s="12" t="s">
        <v>1249</v>
      </c>
      <c r="B310" s="12" t="s">
        <v>1249</v>
      </c>
      <c r="C310" s="12" t="n">
        <v>68</v>
      </c>
      <c r="D310" s="12" t="s">
        <v>262</v>
      </c>
      <c r="E310" s="12" t="s">
        <v>383</v>
      </c>
      <c r="F310" s="12" t="str">
        <f aca="false">IF(COUNTIF('Item modifiers'!$C:$C,A310)&gt;0,"Yes","")</f>
        <v/>
      </c>
    </row>
    <row r="311" customFormat="false" ht="26.85" hidden="false" customHeight="false" outlineLevel="0" collapsed="false">
      <c r="A311" s="12" t="s">
        <v>1250</v>
      </c>
      <c r="B311" s="12" t="s">
        <v>1250</v>
      </c>
      <c r="C311" s="12" t="n">
        <v>68</v>
      </c>
      <c r="D311" s="12" t="s">
        <v>262</v>
      </c>
      <c r="E311" s="12" t="s">
        <v>383</v>
      </c>
      <c r="F311" s="12" t="str">
        <f aca="false">IF(COUNTIF('Item modifiers'!$C:$C,A311)&gt;0,"Yes","")</f>
        <v/>
      </c>
    </row>
    <row r="312" customFormat="false" ht="15" hidden="false" customHeight="false" outlineLevel="0" collapsed="false">
      <c r="A312" s="12" t="s">
        <v>492</v>
      </c>
      <c r="B312" s="12" t="s">
        <v>492</v>
      </c>
      <c r="C312" s="12" t="n">
        <v>40</v>
      </c>
      <c r="D312" s="12" t="s">
        <v>493</v>
      </c>
      <c r="E312" s="12" t="s">
        <v>274</v>
      </c>
      <c r="F312" s="12" t="str">
        <f aca="false">IF(COUNTIF('Item modifiers'!$C:$C,A312)&gt;0,"Yes","")</f>
        <v>Yes</v>
      </c>
    </row>
    <row r="313" customFormat="false" ht="52.2" hidden="false" customHeight="false" outlineLevel="0" collapsed="false">
      <c r="A313" s="12" t="s">
        <v>1251</v>
      </c>
      <c r="B313" s="12" t="s">
        <v>1252</v>
      </c>
      <c r="C313" s="12" t="n">
        <v>8</v>
      </c>
      <c r="D313" s="12" t="s">
        <v>875</v>
      </c>
      <c r="E313" s="12" t="s">
        <v>1100</v>
      </c>
      <c r="F313" s="12" t="str">
        <f aca="false">IF(COUNTIF('Item modifiers'!$C:$C,A313)&gt;0,"Yes","")</f>
        <v/>
      </c>
    </row>
    <row r="314" customFormat="false" ht="39.55" hidden="false" customHeight="false" outlineLevel="0" collapsed="false">
      <c r="A314" s="12" t="s">
        <v>1253</v>
      </c>
      <c r="B314" s="12" t="s">
        <v>1254</v>
      </c>
      <c r="C314" s="12" t="n">
        <v>16</v>
      </c>
      <c r="D314" s="12" t="s">
        <v>875</v>
      </c>
      <c r="E314" s="12" t="s">
        <v>85</v>
      </c>
      <c r="F314" s="12" t="str">
        <f aca="false">IF(COUNTIF('Item modifiers'!$C:$C,A314)&gt;0,"Yes","")</f>
        <v/>
      </c>
    </row>
    <row r="315" customFormat="false" ht="26.85" hidden="false" customHeight="false" outlineLevel="0" collapsed="false">
      <c r="A315" s="12" t="s">
        <v>1255</v>
      </c>
      <c r="B315" s="12" t="s">
        <v>1256</v>
      </c>
      <c r="C315" s="12" t="n">
        <v>16</v>
      </c>
      <c r="D315" s="12" t="s">
        <v>875</v>
      </c>
      <c r="E315" s="12" t="s">
        <v>1100</v>
      </c>
      <c r="F315" s="12" t="str">
        <f aca="false">IF(COUNTIF('Item modifiers'!$C:$C,A315)&gt;0,"Yes","")</f>
        <v/>
      </c>
    </row>
    <row r="316" customFormat="false" ht="26.85" hidden="false" customHeight="false" outlineLevel="0" collapsed="false">
      <c r="A316" s="12" t="s">
        <v>1257</v>
      </c>
      <c r="B316" s="12" t="s">
        <v>1258</v>
      </c>
      <c r="C316" s="12" t="n">
        <v>68</v>
      </c>
      <c r="D316" s="12" t="s">
        <v>636</v>
      </c>
      <c r="E316" s="12" t="s">
        <v>70</v>
      </c>
      <c r="F316" s="12" t="str">
        <f aca="false">IF(COUNTIF('Item modifiers'!$C:$C,A316)&gt;0,"Yes","")</f>
        <v/>
      </c>
    </row>
    <row r="317" customFormat="false" ht="15" hidden="false" customHeight="false" outlineLevel="0" collapsed="false">
      <c r="A317" s="12" t="s">
        <v>583</v>
      </c>
      <c r="B317" s="12" t="s">
        <v>583</v>
      </c>
      <c r="C317" s="12" t="n">
        <v>50</v>
      </c>
      <c r="D317" s="12" t="s">
        <v>262</v>
      </c>
      <c r="E317" s="12" t="s">
        <v>584</v>
      </c>
      <c r="F317" s="12" t="str">
        <f aca="false">IF(COUNTIF('Item modifiers'!$C:$C,A317)&gt;0,"Yes","")</f>
        <v>Yes</v>
      </c>
    </row>
    <row r="318" customFormat="false" ht="39.55" hidden="false" customHeight="false" outlineLevel="0" collapsed="false">
      <c r="A318" s="12" t="s">
        <v>1259</v>
      </c>
      <c r="B318" s="12" t="s">
        <v>1259</v>
      </c>
      <c r="C318" s="12" t="n">
        <v>60</v>
      </c>
      <c r="D318" s="12" t="s">
        <v>748</v>
      </c>
      <c r="E318" s="12" t="s">
        <v>208</v>
      </c>
      <c r="F318" s="12" t="str">
        <f aca="false">IF(COUNTIF('Item modifiers'!$C:$C,A318)&gt;0,"Yes","")</f>
        <v/>
      </c>
    </row>
    <row r="319" customFormat="false" ht="26.85" hidden="false" customHeight="false" outlineLevel="0" collapsed="false">
      <c r="A319" s="12" t="s">
        <v>1260</v>
      </c>
      <c r="B319" s="12" t="s">
        <v>1261</v>
      </c>
      <c r="C319" s="12" t="n">
        <v>68</v>
      </c>
      <c r="D319" s="12" t="s">
        <v>262</v>
      </c>
      <c r="E319" s="12" t="s">
        <v>221</v>
      </c>
      <c r="F319" s="12" t="str">
        <f aca="false">IF(COUNTIF('Item modifiers'!$C:$C,A319)&gt;0,"Yes","")</f>
        <v/>
      </c>
    </row>
    <row r="320" customFormat="false" ht="26.85" hidden="false" customHeight="false" outlineLevel="0" collapsed="false">
      <c r="A320" s="12" t="s">
        <v>1262</v>
      </c>
      <c r="B320" s="12" t="s">
        <v>1263</v>
      </c>
      <c r="C320" s="12" t="n">
        <v>1</v>
      </c>
      <c r="D320" s="12" t="s">
        <v>527</v>
      </c>
      <c r="E320" s="12" t="s">
        <v>283</v>
      </c>
      <c r="F320" s="12" t="str">
        <f aca="false">IF(COUNTIF('Item modifiers'!$C:$C,A320)&gt;0,"Yes","")</f>
        <v/>
      </c>
    </row>
    <row r="321" customFormat="false" ht="15" hidden="false" customHeight="false" outlineLevel="0" collapsed="false">
      <c r="A321" s="12" t="s">
        <v>1264</v>
      </c>
      <c r="B321" s="12" t="s">
        <v>1264</v>
      </c>
      <c r="C321" s="12" t="n">
        <v>1</v>
      </c>
      <c r="D321" s="12" t="s">
        <v>295</v>
      </c>
      <c r="E321" s="12" t="s">
        <v>117</v>
      </c>
      <c r="F321" s="12" t="str">
        <f aca="false">IF(COUNTIF('Item modifiers'!$C:$C,A321)&gt;0,"Yes","")</f>
        <v/>
      </c>
    </row>
    <row r="322" customFormat="false" ht="15" hidden="false" customHeight="false" outlineLevel="0" collapsed="false">
      <c r="A322" s="12" t="s">
        <v>1265</v>
      </c>
      <c r="B322" s="12" t="s">
        <v>1265</v>
      </c>
      <c r="C322" s="12" t="n">
        <v>68</v>
      </c>
      <c r="D322" s="12" t="s">
        <v>262</v>
      </c>
      <c r="E322" s="12" t="s">
        <v>70</v>
      </c>
      <c r="F322" s="12" t="str">
        <f aca="false">IF(COUNTIF('Item modifiers'!$C:$C,A322)&gt;0,"Yes","")</f>
        <v/>
      </c>
    </row>
    <row r="323" customFormat="false" ht="15" hidden="false" customHeight="false" outlineLevel="0" collapsed="false">
      <c r="A323" s="12" t="s">
        <v>1266</v>
      </c>
      <c r="B323" s="12" t="s">
        <v>1267</v>
      </c>
      <c r="C323" s="12" t="n">
        <v>75</v>
      </c>
      <c r="D323" s="12" t="s">
        <v>233</v>
      </c>
      <c r="E323" s="12" t="s">
        <v>144</v>
      </c>
      <c r="F323" s="12" t="str">
        <f aca="false">IF(COUNTIF('Item modifiers'!$C:$C,A323)&gt;0,"Yes","")</f>
        <v/>
      </c>
    </row>
    <row r="324" customFormat="false" ht="15" hidden="false" customHeight="false" outlineLevel="0" collapsed="false">
      <c r="A324" s="12" t="s">
        <v>293</v>
      </c>
      <c r="B324" s="12" t="s">
        <v>294</v>
      </c>
      <c r="C324" s="12" t="n">
        <v>68</v>
      </c>
      <c r="D324" s="12" t="s">
        <v>295</v>
      </c>
      <c r="E324" s="12" t="s">
        <v>296</v>
      </c>
      <c r="F324" s="12" t="str">
        <f aca="false">IF(COUNTIF('Item modifiers'!$C:$C,A324)&gt;0,"Yes","")</f>
        <v>Yes</v>
      </c>
    </row>
    <row r="325" customFormat="false" ht="15" hidden="false" customHeight="false" outlineLevel="0" collapsed="false">
      <c r="A325" s="12" t="s">
        <v>1268</v>
      </c>
      <c r="B325" s="12" t="s">
        <v>1269</v>
      </c>
      <c r="C325" s="12" t="n">
        <v>65</v>
      </c>
      <c r="D325" s="12" t="s">
        <v>151</v>
      </c>
      <c r="E325" s="12" t="s">
        <v>136</v>
      </c>
      <c r="F325" s="12" t="str">
        <f aca="false">IF(COUNTIF('Item modifiers'!$C:$C,A325)&gt;0,"Yes","")</f>
        <v/>
      </c>
    </row>
    <row r="326" customFormat="false" ht="26.85" hidden="false" customHeight="false" outlineLevel="0" collapsed="false">
      <c r="A326" s="12" t="s">
        <v>1270</v>
      </c>
      <c r="B326" s="12" t="s">
        <v>1271</v>
      </c>
      <c r="C326" s="12" t="n">
        <v>75</v>
      </c>
      <c r="D326" s="12" t="s">
        <v>233</v>
      </c>
      <c r="E326" s="12" t="s">
        <v>144</v>
      </c>
      <c r="F326" s="12" t="str">
        <f aca="false">IF(COUNTIF('Item modifiers'!$C:$C,A326)&gt;0,"Yes","")</f>
        <v/>
      </c>
    </row>
    <row r="327" customFormat="false" ht="26.85" hidden="false" customHeight="false" outlineLevel="0" collapsed="false">
      <c r="A327" s="12" t="s">
        <v>1272</v>
      </c>
      <c r="B327" s="12" t="s">
        <v>1272</v>
      </c>
      <c r="C327" s="12" t="n">
        <v>68</v>
      </c>
      <c r="D327" s="12" t="s">
        <v>262</v>
      </c>
      <c r="E327" s="12" t="s">
        <v>383</v>
      </c>
      <c r="F327" s="12" t="str">
        <f aca="false">IF(COUNTIF('Item modifiers'!$C:$C,A327)&gt;0,"Yes","")</f>
        <v/>
      </c>
    </row>
    <row r="328" customFormat="false" ht="15" hidden="false" customHeight="false" outlineLevel="0" collapsed="false">
      <c r="A328" s="12" t="s">
        <v>497</v>
      </c>
      <c r="B328" s="12" t="s">
        <v>497</v>
      </c>
      <c r="C328" s="12" t="n">
        <v>68</v>
      </c>
      <c r="D328" s="12" t="s">
        <v>262</v>
      </c>
      <c r="E328" s="12" t="s">
        <v>70</v>
      </c>
      <c r="F328" s="12" t="str">
        <f aca="false">IF(COUNTIF('Item modifiers'!$C:$C,A328)&gt;0,"Yes","")</f>
        <v>Yes</v>
      </c>
    </row>
    <row r="329" customFormat="false" ht="26.85" hidden="false" customHeight="false" outlineLevel="0" collapsed="false">
      <c r="A329" s="12" t="s">
        <v>1273</v>
      </c>
      <c r="B329" s="12" t="s">
        <v>1273</v>
      </c>
      <c r="C329" s="12" t="n">
        <v>68</v>
      </c>
      <c r="D329" s="12" t="s">
        <v>262</v>
      </c>
      <c r="E329" s="12" t="s">
        <v>383</v>
      </c>
      <c r="F329" s="12" t="str">
        <f aca="false">IF(COUNTIF('Item modifiers'!$C:$C,A329)&gt;0,"Yes","")</f>
        <v/>
      </c>
    </row>
    <row r="330" customFormat="false" ht="26.85" hidden="false" customHeight="false" outlineLevel="0" collapsed="false">
      <c r="A330" s="12" t="s">
        <v>1274</v>
      </c>
      <c r="B330" s="12" t="s">
        <v>1274</v>
      </c>
      <c r="C330" s="12" t="n">
        <v>68</v>
      </c>
      <c r="D330" s="12" t="s">
        <v>262</v>
      </c>
      <c r="E330" s="12" t="s">
        <v>383</v>
      </c>
      <c r="F330" s="12" t="str">
        <f aca="false">IF(COUNTIF('Item modifiers'!$C:$C,A330)&gt;0,"Yes","")</f>
        <v/>
      </c>
    </row>
    <row r="331" customFormat="false" ht="26.85" hidden="false" customHeight="false" outlineLevel="0" collapsed="false">
      <c r="A331" s="12" t="s">
        <v>1275</v>
      </c>
      <c r="B331" s="12" t="s">
        <v>1275</v>
      </c>
      <c r="C331" s="12" t="n">
        <v>68</v>
      </c>
      <c r="D331" s="12" t="s">
        <v>262</v>
      </c>
      <c r="E331" s="12" t="s">
        <v>383</v>
      </c>
      <c r="F331" s="12" t="str">
        <f aca="false">IF(COUNTIF('Item modifiers'!$C:$C,A331)&gt;0,"Yes","")</f>
        <v/>
      </c>
    </row>
    <row r="332" customFormat="false" ht="15" hidden="false" customHeight="false" outlineLevel="0" collapsed="false">
      <c r="A332" s="12" t="s">
        <v>1276</v>
      </c>
      <c r="B332" s="12" t="s">
        <v>1276</v>
      </c>
      <c r="C332" s="12" t="n">
        <v>45</v>
      </c>
      <c r="D332" s="12" t="s">
        <v>116</v>
      </c>
      <c r="E332" s="12" t="s">
        <v>584</v>
      </c>
      <c r="F332" s="12" t="str">
        <f aca="false">IF(COUNTIF('Item modifiers'!$C:$C,A332)&gt;0,"Yes","")</f>
        <v/>
      </c>
    </row>
    <row r="333" customFormat="false" ht="26.85" hidden="false" customHeight="false" outlineLevel="0" collapsed="false">
      <c r="A333" s="12" t="s">
        <v>352</v>
      </c>
      <c r="B333" s="12" t="s">
        <v>353</v>
      </c>
      <c r="C333" s="12" t="n">
        <v>1</v>
      </c>
      <c r="D333" s="12" t="s">
        <v>354</v>
      </c>
      <c r="E333" s="12" t="s">
        <v>283</v>
      </c>
      <c r="F333" s="12" t="str">
        <f aca="false">IF(COUNTIF('Item modifiers'!$C:$C,A333)&gt;0,"Yes","")</f>
        <v>Yes</v>
      </c>
    </row>
    <row r="334" customFormat="false" ht="26.85" hidden="false" customHeight="false" outlineLevel="0" collapsed="false">
      <c r="A334" s="12" t="s">
        <v>1277</v>
      </c>
      <c r="B334" s="12" t="s">
        <v>1278</v>
      </c>
      <c r="C334" s="12" t="n">
        <v>40</v>
      </c>
      <c r="D334" s="12" t="s">
        <v>1025</v>
      </c>
      <c r="E334" s="12" t="s">
        <v>85</v>
      </c>
      <c r="F334" s="12" t="str">
        <f aca="false">IF(COUNTIF('Item modifiers'!$C:$C,A334)&gt;0,"Yes","")</f>
        <v/>
      </c>
    </row>
    <row r="335" customFormat="false" ht="15" hidden="false" customHeight="false" outlineLevel="0" collapsed="false">
      <c r="A335" s="12" t="s">
        <v>1279</v>
      </c>
      <c r="B335" s="12" t="s">
        <v>1279</v>
      </c>
      <c r="C335" s="12" t="n">
        <v>68</v>
      </c>
      <c r="D335" s="12" t="s">
        <v>262</v>
      </c>
      <c r="E335" s="12" t="s">
        <v>70</v>
      </c>
      <c r="F335" s="12" t="str">
        <f aca="false">IF(COUNTIF('Item modifiers'!$C:$C,A335)&gt;0,"Yes","")</f>
        <v/>
      </c>
    </row>
    <row r="336" customFormat="false" ht="26.85" hidden="false" customHeight="false" outlineLevel="0" collapsed="false">
      <c r="A336" s="12" t="s">
        <v>1280</v>
      </c>
      <c r="B336" s="12" t="s">
        <v>1280</v>
      </c>
      <c r="C336" s="12" t="n">
        <v>45</v>
      </c>
      <c r="D336" s="12" t="s">
        <v>233</v>
      </c>
      <c r="E336" s="12" t="s">
        <v>584</v>
      </c>
      <c r="F336" s="12" t="str">
        <f aca="false">IF(COUNTIF('Item modifiers'!$C:$C,A336)&gt;0,"Yes","")</f>
        <v/>
      </c>
    </row>
    <row r="337" customFormat="false" ht="26.85" hidden="false" customHeight="false" outlineLevel="0" collapsed="false">
      <c r="A337" s="12" t="s">
        <v>1281</v>
      </c>
      <c r="B337" s="12" t="s">
        <v>1281</v>
      </c>
      <c r="C337" s="12" t="n">
        <v>30</v>
      </c>
      <c r="D337" s="12" t="s">
        <v>1282</v>
      </c>
      <c r="E337" s="12" t="s">
        <v>1283</v>
      </c>
      <c r="F337" s="12" t="str">
        <f aca="false">IF(COUNTIF('Item modifiers'!$C:$C,A337)&gt;0,"Yes","")</f>
        <v/>
      </c>
    </row>
    <row r="338" customFormat="false" ht="26.85" hidden="false" customHeight="false" outlineLevel="0" collapsed="false">
      <c r="A338" s="12" t="s">
        <v>1284</v>
      </c>
      <c r="B338" s="12" t="s">
        <v>1285</v>
      </c>
      <c r="C338" s="12" t="n">
        <v>1</v>
      </c>
      <c r="D338" s="12" t="s">
        <v>295</v>
      </c>
      <c r="E338" s="12" t="s">
        <v>1286</v>
      </c>
      <c r="F338" s="12" t="str">
        <f aca="false">IF(COUNTIF('Item modifiers'!$C:$C,A338)&gt;0,"Yes","")</f>
        <v/>
      </c>
    </row>
    <row r="339" customFormat="false" ht="26.85" hidden="false" customHeight="false" outlineLevel="0" collapsed="false">
      <c r="A339" s="12" t="s">
        <v>1287</v>
      </c>
      <c r="B339" s="12" t="s">
        <v>1288</v>
      </c>
      <c r="C339" s="12" t="n">
        <v>68</v>
      </c>
      <c r="D339" s="12" t="s">
        <v>295</v>
      </c>
      <c r="E339" s="12" t="s">
        <v>296</v>
      </c>
      <c r="F339" s="12" t="str">
        <f aca="false">IF(COUNTIF('Item modifiers'!$C:$C,A339)&gt;0,"Yes","")</f>
        <v/>
      </c>
    </row>
    <row r="340" customFormat="false" ht="15" hidden="false" customHeight="false" outlineLevel="0" collapsed="false">
      <c r="A340" s="12" t="s">
        <v>1289</v>
      </c>
      <c r="B340" s="12" t="s">
        <v>1290</v>
      </c>
      <c r="C340" s="12" t="n">
        <v>68</v>
      </c>
      <c r="D340" s="12" t="s">
        <v>295</v>
      </c>
      <c r="E340" s="12" t="s">
        <v>221</v>
      </c>
      <c r="F340" s="12" t="str">
        <f aca="false">IF(COUNTIF('Item modifiers'!$C:$C,A340)&gt;0,"Yes","")</f>
        <v/>
      </c>
    </row>
    <row r="341" customFormat="false" ht="15" hidden="false" customHeight="false" outlineLevel="0" collapsed="false">
      <c r="A341" s="12" t="s">
        <v>1291</v>
      </c>
      <c r="B341" s="12" t="s">
        <v>1291</v>
      </c>
      <c r="C341" s="12" t="n">
        <v>45</v>
      </c>
      <c r="D341" s="12" t="s">
        <v>1292</v>
      </c>
      <c r="E341" s="12" t="s">
        <v>221</v>
      </c>
      <c r="F341" s="12" t="str">
        <f aca="false">IF(COUNTIF('Item modifiers'!$C:$C,A341)&gt;0,"Yes","")</f>
        <v/>
      </c>
    </row>
    <row r="342" customFormat="false" ht="15" hidden="false" customHeight="false" outlineLevel="0" collapsed="false">
      <c r="A342" s="12" t="s">
        <v>1293</v>
      </c>
      <c r="B342" s="12" t="s">
        <v>1293</v>
      </c>
      <c r="C342" s="12" t="n">
        <v>60</v>
      </c>
      <c r="D342" s="12" t="s">
        <v>233</v>
      </c>
      <c r="E342" s="12" t="s">
        <v>136</v>
      </c>
      <c r="F342" s="12" t="str">
        <f aca="false">IF(COUNTIF('Item modifiers'!$C:$C,A342)&gt;0,"Yes","")</f>
        <v/>
      </c>
    </row>
    <row r="343" customFormat="false" ht="26.85" hidden="false" customHeight="false" outlineLevel="0" collapsed="false">
      <c r="A343" s="12" t="s">
        <v>1294</v>
      </c>
      <c r="B343" s="12" t="s">
        <v>1294</v>
      </c>
      <c r="C343" s="12" t="n">
        <v>68</v>
      </c>
      <c r="D343" s="12" t="s">
        <v>262</v>
      </c>
      <c r="E343" s="12" t="s">
        <v>383</v>
      </c>
      <c r="F343" s="12" t="str">
        <f aca="false">IF(COUNTIF('Item modifiers'!$C:$C,A343)&gt;0,"Yes","")</f>
        <v/>
      </c>
    </row>
    <row r="344" customFormat="false" ht="26.85" hidden="false" customHeight="false" outlineLevel="0" collapsed="false">
      <c r="A344" s="12" t="s">
        <v>415</v>
      </c>
      <c r="B344" s="12" t="s">
        <v>415</v>
      </c>
      <c r="C344" s="12" t="n">
        <v>68</v>
      </c>
      <c r="D344" s="12" t="s">
        <v>262</v>
      </c>
      <c r="E344" s="12" t="s">
        <v>383</v>
      </c>
      <c r="F344" s="12" t="str">
        <f aca="false">IF(COUNTIF('Item modifiers'!$C:$C,A344)&gt;0,"Yes","")</f>
        <v>Yes</v>
      </c>
    </row>
    <row r="345" customFormat="false" ht="26.85" hidden="false" customHeight="false" outlineLevel="0" collapsed="false">
      <c r="A345" s="12" t="s">
        <v>1295</v>
      </c>
      <c r="B345" s="12" t="s">
        <v>1295</v>
      </c>
      <c r="C345" s="12" t="n">
        <v>1</v>
      </c>
      <c r="D345" s="12" t="s">
        <v>1292</v>
      </c>
      <c r="E345" s="12" t="s">
        <v>214</v>
      </c>
      <c r="F345" s="12" t="str">
        <f aca="false">IF(COUNTIF('Item modifiers'!$C:$C,A345)&gt;0,"Yes","")</f>
        <v/>
      </c>
    </row>
    <row r="346" customFormat="false" ht="52.2" hidden="false" customHeight="false" outlineLevel="0" collapsed="false">
      <c r="A346" s="12" t="s">
        <v>1296</v>
      </c>
      <c r="B346" s="12" t="s">
        <v>1297</v>
      </c>
      <c r="C346" s="12" t="n">
        <v>36</v>
      </c>
      <c r="D346" s="12" t="s">
        <v>371</v>
      </c>
      <c r="E346" s="12" t="s">
        <v>831</v>
      </c>
      <c r="F346" s="12" t="str">
        <f aca="false">IF(COUNTIF('Item modifiers'!$C:$C,A346)&gt;0,"Yes","")</f>
        <v/>
      </c>
    </row>
    <row r="347" customFormat="false" ht="64.9" hidden="false" customHeight="false" outlineLevel="0" collapsed="false">
      <c r="A347" s="12" t="s">
        <v>641</v>
      </c>
      <c r="B347" s="12" t="s">
        <v>641</v>
      </c>
      <c r="C347" s="12" t="n">
        <v>1</v>
      </c>
      <c r="D347" s="12" t="s">
        <v>642</v>
      </c>
      <c r="E347" s="12" t="s">
        <v>208</v>
      </c>
      <c r="F347" s="12" t="str">
        <f aca="false">IF(COUNTIF('Item modifiers'!$C:$C,A347)&gt;0,"Yes","")</f>
        <v>Yes</v>
      </c>
    </row>
    <row r="348" customFormat="false" ht="15" hidden="false" customHeight="false" outlineLevel="0" collapsed="false">
      <c r="A348" s="12" t="s">
        <v>1298</v>
      </c>
      <c r="B348" s="12" t="s">
        <v>1299</v>
      </c>
      <c r="C348" s="12" t="n">
        <v>75</v>
      </c>
      <c r="D348" s="12" t="s">
        <v>262</v>
      </c>
      <c r="E348" s="12" t="s">
        <v>144</v>
      </c>
      <c r="F348" s="12" t="str">
        <f aca="false">IF(COUNTIF('Item modifiers'!$C:$C,A348)&gt;0,"Yes","")</f>
        <v/>
      </c>
    </row>
    <row r="349" customFormat="false" ht="26.85" hidden="false" customHeight="false" outlineLevel="0" collapsed="false">
      <c r="A349" s="12" t="s">
        <v>1300</v>
      </c>
      <c r="B349" s="12" t="s">
        <v>1301</v>
      </c>
      <c r="C349" s="12" t="n">
        <v>60</v>
      </c>
      <c r="D349" s="12" t="s">
        <v>780</v>
      </c>
      <c r="E349" s="12" t="s">
        <v>208</v>
      </c>
      <c r="F349" s="12" t="str">
        <f aca="false">IF(COUNTIF('Item modifiers'!$C:$C,A349)&gt;0,"Yes","")</f>
        <v/>
      </c>
    </row>
    <row r="350" customFormat="false" ht="26.85" hidden="false" customHeight="false" outlineLevel="0" collapsed="false">
      <c r="A350" s="12" t="s">
        <v>485</v>
      </c>
      <c r="B350" s="12" t="s">
        <v>486</v>
      </c>
      <c r="C350" s="12" t="n">
        <v>1</v>
      </c>
      <c r="D350" s="12" t="s">
        <v>487</v>
      </c>
      <c r="E350" s="12" t="s">
        <v>488</v>
      </c>
      <c r="F350" s="12" t="str">
        <f aca="false">IF(COUNTIF('Item modifiers'!$C:$C,A350)&gt;0,"Yes","")</f>
        <v>Yes</v>
      </c>
    </row>
    <row r="351" customFormat="false" ht="26.85" hidden="false" customHeight="false" outlineLevel="0" collapsed="false">
      <c r="A351" s="12" t="s">
        <v>212</v>
      </c>
      <c r="B351" s="12" t="s">
        <v>212</v>
      </c>
      <c r="C351" s="12" t="n">
        <v>40</v>
      </c>
      <c r="D351" s="12" t="s">
        <v>213</v>
      </c>
      <c r="E351" s="12" t="s">
        <v>214</v>
      </c>
      <c r="F351" s="12" t="str">
        <f aca="false">IF(COUNTIF('Item modifiers'!$C:$C,A351)&gt;0,"Yes","")</f>
        <v>Yes</v>
      </c>
    </row>
    <row r="352" customFormat="false" ht="26.85" hidden="false" customHeight="false" outlineLevel="0" collapsed="false">
      <c r="A352" s="12" t="s">
        <v>1302</v>
      </c>
      <c r="B352" s="12" t="s">
        <v>1302</v>
      </c>
      <c r="C352" s="12" t="n">
        <v>68</v>
      </c>
      <c r="D352" s="12" t="s">
        <v>262</v>
      </c>
      <c r="E352" s="12" t="s">
        <v>383</v>
      </c>
      <c r="F352" s="12" t="str">
        <f aca="false">IF(COUNTIF('Item modifiers'!$C:$C,A352)&gt;0,"Yes","")</f>
        <v/>
      </c>
    </row>
    <row r="353" customFormat="false" ht="15" hidden="false" customHeight="false" outlineLevel="0" collapsed="false">
      <c r="A353" s="12" t="s">
        <v>172</v>
      </c>
      <c r="B353" s="12" t="s">
        <v>173</v>
      </c>
      <c r="C353" s="12" t="n">
        <v>68</v>
      </c>
      <c r="D353" s="12" t="s">
        <v>174</v>
      </c>
      <c r="E353" s="12" t="s">
        <v>70</v>
      </c>
      <c r="F353" s="12" t="str">
        <f aca="false">IF(COUNTIF('Item modifiers'!$C:$C,A353)&gt;0,"Yes","")</f>
        <v>Yes</v>
      </c>
    </row>
    <row r="354" customFormat="false" ht="26.85" hidden="false" customHeight="false" outlineLevel="0" collapsed="false">
      <c r="A354" s="12" t="s">
        <v>1303</v>
      </c>
      <c r="B354" s="12" t="s">
        <v>1303</v>
      </c>
      <c r="C354" s="12" t="n">
        <v>68</v>
      </c>
      <c r="D354" s="12" t="s">
        <v>262</v>
      </c>
      <c r="E354" s="12" t="s">
        <v>383</v>
      </c>
      <c r="F354" s="12" t="str">
        <f aca="false">IF(COUNTIF('Item modifiers'!$C:$C,A354)&gt;0,"Yes","")</f>
        <v/>
      </c>
    </row>
    <row r="355" customFormat="false" ht="64.9" hidden="false" customHeight="false" outlineLevel="0" collapsed="false">
      <c r="A355" s="12" t="s">
        <v>1304</v>
      </c>
      <c r="B355" s="12" t="s">
        <v>1304</v>
      </c>
      <c r="C355" s="12" t="n">
        <v>1</v>
      </c>
      <c r="D355" s="12" t="s">
        <v>642</v>
      </c>
      <c r="E355" s="12" t="s">
        <v>208</v>
      </c>
      <c r="F355" s="12" t="str">
        <f aca="false">IF(COUNTIF('Item modifiers'!$C:$C,A355)&gt;0,"Yes","")</f>
        <v/>
      </c>
    </row>
    <row r="356" customFormat="false" ht="26.85" hidden="false" customHeight="false" outlineLevel="0" collapsed="false">
      <c r="A356" s="12" t="s">
        <v>1305</v>
      </c>
      <c r="B356" s="12" t="s">
        <v>1305</v>
      </c>
      <c r="C356" s="12" t="n">
        <v>68</v>
      </c>
      <c r="D356" s="12" t="s">
        <v>262</v>
      </c>
      <c r="E356" s="12" t="s">
        <v>383</v>
      </c>
      <c r="F356" s="12" t="str">
        <f aca="false">IF(COUNTIF('Item modifiers'!$C:$C,A356)&gt;0,"Yes","")</f>
        <v/>
      </c>
    </row>
    <row r="357" customFormat="false" ht="15" hidden="false" customHeight="false" outlineLevel="0" collapsed="false">
      <c r="A357" s="12" t="s">
        <v>1306</v>
      </c>
      <c r="B357" s="12" t="s">
        <v>1307</v>
      </c>
      <c r="C357" s="12" t="n">
        <v>75</v>
      </c>
      <c r="D357" s="12" t="s">
        <v>262</v>
      </c>
      <c r="E357" s="12" t="s">
        <v>289</v>
      </c>
      <c r="F357" s="12" t="str">
        <f aca="false">IF(COUNTIF('Item modifiers'!$C:$C,A357)&gt;0,"Yes","")</f>
        <v/>
      </c>
    </row>
    <row r="358" customFormat="false" ht="26.85" hidden="false" customHeight="false" outlineLevel="0" collapsed="false">
      <c r="A358" s="12" t="s">
        <v>1308</v>
      </c>
      <c r="B358" s="12" t="s">
        <v>1308</v>
      </c>
      <c r="C358" s="12" t="n">
        <v>68</v>
      </c>
      <c r="D358" s="12" t="s">
        <v>262</v>
      </c>
      <c r="E358" s="12" t="s">
        <v>383</v>
      </c>
      <c r="F358" s="12" t="str">
        <f aca="false">IF(COUNTIF('Item modifiers'!$C:$C,A358)&gt;0,"Yes","")</f>
        <v/>
      </c>
    </row>
    <row r="359" customFormat="false" ht="26.85" hidden="false" customHeight="false" outlineLevel="0" collapsed="false">
      <c r="A359" s="12" t="s">
        <v>1309</v>
      </c>
      <c r="B359" s="12" t="s">
        <v>1309</v>
      </c>
      <c r="C359" s="12" t="n">
        <v>68</v>
      </c>
      <c r="D359" s="12" t="s">
        <v>262</v>
      </c>
      <c r="E359" s="12" t="s">
        <v>383</v>
      </c>
      <c r="F359" s="12" t="str">
        <f aca="false">IF(COUNTIF('Item modifiers'!$C:$C,A359)&gt;0,"Yes","")</f>
        <v/>
      </c>
    </row>
    <row r="360" customFormat="false" ht="15" hidden="false" customHeight="false" outlineLevel="0" collapsed="false">
      <c r="A360" s="12" t="s">
        <v>1310</v>
      </c>
      <c r="B360" s="12" t="s">
        <v>1311</v>
      </c>
      <c r="C360" s="12" t="n">
        <v>60</v>
      </c>
      <c r="D360" s="12" t="s">
        <v>220</v>
      </c>
      <c r="E360" s="12" t="s">
        <v>208</v>
      </c>
      <c r="F360" s="12" t="str">
        <f aca="false">IF(COUNTIF('Item modifiers'!$C:$C,A360)&gt;0,"Yes","")</f>
        <v/>
      </c>
    </row>
    <row r="361" customFormat="false" ht="39.55" hidden="false" customHeight="false" outlineLevel="0" collapsed="false">
      <c r="A361" s="12" t="s">
        <v>1312</v>
      </c>
      <c r="B361" s="12" t="s">
        <v>1313</v>
      </c>
      <c r="C361" s="12" t="n">
        <v>63</v>
      </c>
      <c r="D361" s="12" t="s">
        <v>40</v>
      </c>
      <c r="E361" s="12" t="s">
        <v>462</v>
      </c>
      <c r="F361" s="12" t="str">
        <f aca="false">IF(COUNTIF('Item modifiers'!$C:$C,A361)&gt;0,"Yes","")</f>
        <v/>
      </c>
    </row>
    <row r="362" customFormat="false" ht="26.85" hidden="false" customHeight="false" outlineLevel="0" collapsed="false">
      <c r="A362" s="12" t="s">
        <v>1314</v>
      </c>
      <c r="B362" s="12" t="s">
        <v>1314</v>
      </c>
      <c r="C362" s="12" t="n">
        <v>32</v>
      </c>
      <c r="D362" s="12" t="s">
        <v>233</v>
      </c>
      <c r="E362" s="12" t="s">
        <v>1315</v>
      </c>
      <c r="F362" s="12" t="str">
        <f aca="false">IF(COUNTIF('Item modifiers'!$C:$C,A362)&gt;0,"Yes","")</f>
        <v/>
      </c>
    </row>
    <row r="363" customFormat="false" ht="15" hidden="false" customHeight="false" outlineLevel="0" collapsed="false">
      <c r="A363" s="12" t="s">
        <v>1316</v>
      </c>
      <c r="B363" s="12" t="s">
        <v>1316</v>
      </c>
      <c r="C363" s="12" t="n">
        <v>32</v>
      </c>
      <c r="D363" s="12" t="s">
        <v>233</v>
      </c>
      <c r="E363" s="12" t="s">
        <v>1203</v>
      </c>
      <c r="F363" s="12" t="str">
        <f aca="false">IF(COUNTIF('Item modifiers'!$C:$C,A363)&gt;0,"Yes","")</f>
        <v/>
      </c>
    </row>
    <row r="364" customFormat="false" ht="26.85" hidden="false" customHeight="false" outlineLevel="0" collapsed="false">
      <c r="A364" s="12" t="s">
        <v>1317</v>
      </c>
      <c r="B364" s="12" t="s">
        <v>1317</v>
      </c>
      <c r="C364" s="12" t="n">
        <v>40</v>
      </c>
      <c r="D364" s="12" t="s">
        <v>1318</v>
      </c>
      <c r="E364" s="12" t="s">
        <v>324</v>
      </c>
      <c r="F364" s="12" t="str">
        <f aca="false">IF(COUNTIF('Item modifiers'!$C:$C,A364)&gt;0,"Yes","")</f>
        <v/>
      </c>
    </row>
    <row r="365" customFormat="false" ht="26.85" hidden="false" customHeight="false" outlineLevel="0" collapsed="false">
      <c r="A365" s="12" t="s">
        <v>1319</v>
      </c>
      <c r="B365" s="12" t="s">
        <v>1319</v>
      </c>
      <c r="C365" s="12" t="n">
        <v>40</v>
      </c>
      <c r="D365" s="12" t="s">
        <v>493</v>
      </c>
      <c r="E365" s="12" t="s">
        <v>214</v>
      </c>
      <c r="F365" s="12" t="str">
        <f aca="false">IF(COUNTIF('Item modifiers'!$C:$C,A365)&gt;0,"Yes","")</f>
        <v/>
      </c>
    </row>
    <row r="366" customFormat="false" ht="15" hidden="false" customHeight="false" outlineLevel="0" collapsed="false">
      <c r="A366" s="12" t="s">
        <v>501</v>
      </c>
      <c r="B366" s="12" t="s">
        <v>501</v>
      </c>
      <c r="C366" s="12" t="n">
        <v>68</v>
      </c>
      <c r="D366" s="12" t="s">
        <v>262</v>
      </c>
      <c r="E366" s="12" t="s">
        <v>70</v>
      </c>
      <c r="F366" s="12" t="str">
        <f aca="false">IF(COUNTIF('Item modifiers'!$C:$C,A366)&gt;0,"Yes","")</f>
        <v>Yes</v>
      </c>
    </row>
    <row r="367" customFormat="false" ht="15" hidden="false" customHeight="false" outlineLevel="0" collapsed="false">
      <c r="A367" s="12" t="s">
        <v>1320</v>
      </c>
      <c r="B367" s="12" t="s">
        <v>1321</v>
      </c>
      <c r="C367" s="12" t="n">
        <v>75</v>
      </c>
      <c r="D367" s="12" t="s">
        <v>116</v>
      </c>
      <c r="E367" s="12" t="s">
        <v>144</v>
      </c>
      <c r="F367" s="12" t="str">
        <f aca="false">IF(COUNTIF('Item modifiers'!$C:$C,A367)&gt;0,"Yes","")</f>
        <v/>
      </c>
    </row>
    <row r="368" customFormat="false" ht="15" hidden="false" customHeight="false" outlineLevel="0" collapsed="false">
      <c r="A368" s="12" t="s">
        <v>653</v>
      </c>
      <c r="B368" s="12" t="s">
        <v>653</v>
      </c>
      <c r="C368" s="12" t="n">
        <v>68</v>
      </c>
      <c r="D368" s="12" t="s">
        <v>636</v>
      </c>
      <c r="E368" s="12" t="s">
        <v>221</v>
      </c>
      <c r="F368" s="12" t="str">
        <f aca="false">IF(COUNTIF('Item modifiers'!$C:$C,A368)&gt;0,"Yes","")</f>
        <v>Yes</v>
      </c>
    </row>
    <row r="369" customFormat="false" ht="15" hidden="false" customHeight="false" outlineLevel="0" collapsed="false">
      <c r="A369" s="12" t="s">
        <v>1322</v>
      </c>
      <c r="B369" s="12" t="s">
        <v>1322</v>
      </c>
      <c r="C369" s="12" t="n">
        <v>40</v>
      </c>
      <c r="D369" s="12" t="s">
        <v>98</v>
      </c>
      <c r="E369" s="12" t="s">
        <v>125</v>
      </c>
      <c r="F369" s="12" t="str">
        <f aca="false">IF(COUNTIF('Item modifiers'!$C:$C,A369)&gt;0,"Yes","")</f>
        <v/>
      </c>
    </row>
    <row r="370" customFormat="false" ht="15" hidden="false" customHeight="false" outlineLevel="0" collapsed="false">
      <c r="A370" s="12" t="s">
        <v>1323</v>
      </c>
      <c r="B370" s="12" t="s">
        <v>1323</v>
      </c>
      <c r="C370" s="12" t="n">
        <v>40</v>
      </c>
      <c r="D370" s="12" t="s">
        <v>98</v>
      </c>
      <c r="E370" s="12" t="s">
        <v>125</v>
      </c>
      <c r="F370" s="12" t="str">
        <f aca="false">IF(COUNTIF('Item modifiers'!$C:$C,A370)&gt;0,"Yes","")</f>
        <v/>
      </c>
    </row>
    <row r="371" customFormat="false" ht="15" hidden="false" customHeight="false" outlineLevel="0" collapsed="false">
      <c r="A371" s="12" t="s">
        <v>1324</v>
      </c>
      <c r="B371" s="12" t="s">
        <v>1325</v>
      </c>
      <c r="C371" s="12" t="n">
        <v>65</v>
      </c>
      <c r="D371" s="12" t="s">
        <v>151</v>
      </c>
      <c r="E371" s="12" t="s">
        <v>136</v>
      </c>
      <c r="F371" s="12" t="str">
        <f aca="false">IF(COUNTIF('Item modifiers'!$C:$C,A371)&gt;0,"Yes","")</f>
        <v/>
      </c>
    </row>
    <row r="372" customFormat="false" ht="15" hidden="false" customHeight="false" outlineLevel="0" collapsed="false">
      <c r="A372" s="12" t="s">
        <v>260</v>
      </c>
      <c r="B372" s="12" t="s">
        <v>261</v>
      </c>
      <c r="C372" s="12" t="n">
        <v>45</v>
      </c>
      <c r="D372" s="12" t="s">
        <v>262</v>
      </c>
      <c r="E372" s="12" t="s">
        <v>167</v>
      </c>
      <c r="F372" s="12" t="str">
        <f aca="false">IF(COUNTIF('Item modifiers'!$C:$C,A372)&gt;0,"Yes","")</f>
        <v>Yes</v>
      </c>
    </row>
    <row r="373" customFormat="false" ht="26.85" hidden="false" customHeight="false" outlineLevel="0" collapsed="false">
      <c r="A373" s="12" t="s">
        <v>1326</v>
      </c>
      <c r="B373" s="12" t="s">
        <v>1327</v>
      </c>
      <c r="C373" s="12" t="n">
        <v>45</v>
      </c>
      <c r="D373" s="12" t="s">
        <v>867</v>
      </c>
      <c r="E373" s="12" t="s">
        <v>221</v>
      </c>
      <c r="F373" s="12" t="str">
        <f aca="false">IF(COUNTIF('Item modifiers'!$C:$C,A373)&gt;0,"Yes","")</f>
        <v/>
      </c>
    </row>
    <row r="374" customFormat="false" ht="39.55" hidden="false" customHeight="false" outlineLevel="0" collapsed="false">
      <c r="A374" s="12" t="s">
        <v>1328</v>
      </c>
      <c r="B374" s="12" t="s">
        <v>1329</v>
      </c>
      <c r="C374" s="12" t="n">
        <v>33</v>
      </c>
      <c r="D374" s="12" t="s">
        <v>1330</v>
      </c>
      <c r="E374" s="12" t="s">
        <v>1331</v>
      </c>
      <c r="F374" s="12" t="str">
        <f aca="false">IF(COUNTIF('Item modifiers'!$C:$C,A374)&gt;0,"Yes","")</f>
        <v/>
      </c>
    </row>
    <row r="375" customFormat="false" ht="26.85" hidden="false" customHeight="false" outlineLevel="0" collapsed="false">
      <c r="A375" s="12" t="s">
        <v>1332</v>
      </c>
      <c r="B375" s="12" t="s">
        <v>1333</v>
      </c>
      <c r="C375" s="12" t="n">
        <v>63</v>
      </c>
      <c r="D375" s="12" t="s">
        <v>262</v>
      </c>
      <c r="E375" s="12" t="s">
        <v>462</v>
      </c>
      <c r="F375" s="12" t="str">
        <f aca="false">IF(COUNTIF('Item modifiers'!$C:$C,A375)&gt;0,"Yes","")</f>
        <v/>
      </c>
    </row>
    <row r="376" customFormat="false" ht="15" hidden="false" customHeight="false" outlineLevel="0" collapsed="false">
      <c r="A376" s="12" t="s">
        <v>219</v>
      </c>
      <c r="B376" s="12" t="s">
        <v>219</v>
      </c>
      <c r="C376" s="12" t="n">
        <v>45</v>
      </c>
      <c r="D376" s="12" t="s">
        <v>220</v>
      </c>
      <c r="E376" s="12" t="s">
        <v>221</v>
      </c>
      <c r="F376" s="12" t="str">
        <f aca="false">IF(COUNTIF('Item modifiers'!$C:$C,A376)&gt;0,"Yes","")</f>
        <v>Yes</v>
      </c>
    </row>
    <row r="377" customFormat="false" ht="15" hidden="false" customHeight="false" outlineLevel="0" collapsed="false">
      <c r="A377" s="12" t="s">
        <v>1334</v>
      </c>
      <c r="B377" s="12" t="s">
        <v>1334</v>
      </c>
      <c r="C377" s="12" t="n">
        <v>68</v>
      </c>
      <c r="D377" s="12" t="s">
        <v>116</v>
      </c>
      <c r="E377" s="12" t="s">
        <v>221</v>
      </c>
      <c r="F377" s="12" t="str">
        <f aca="false">IF(COUNTIF('Item modifiers'!$C:$C,A377)&gt;0,"Yes","")</f>
        <v/>
      </c>
    </row>
    <row r="378" customFormat="false" ht="15" hidden="false" customHeight="false" outlineLevel="0" collapsed="false">
      <c r="A378" s="12" t="s">
        <v>1335</v>
      </c>
      <c r="B378" s="12" t="s">
        <v>1335</v>
      </c>
      <c r="C378" s="12" t="n">
        <v>68</v>
      </c>
      <c r="D378" s="12" t="s">
        <v>233</v>
      </c>
      <c r="E378" s="12" t="s">
        <v>221</v>
      </c>
      <c r="F378" s="12" t="str">
        <f aca="false">IF(COUNTIF('Item modifiers'!$C:$C,A378)&gt;0,"Yes","")</f>
        <v/>
      </c>
    </row>
    <row r="379" customFormat="false" ht="15" hidden="false" customHeight="false" outlineLevel="0" collapsed="false">
      <c r="A379" s="12" t="s">
        <v>1336</v>
      </c>
      <c r="B379" s="12" t="s">
        <v>1336</v>
      </c>
      <c r="C379" s="12" t="n">
        <v>68</v>
      </c>
      <c r="D379" s="12" t="s">
        <v>262</v>
      </c>
      <c r="E379" s="12" t="s">
        <v>70</v>
      </c>
      <c r="F379" s="12" t="str">
        <f aca="false">IF(COUNTIF('Item modifiers'!$C:$C,A379)&gt;0,"Yes","")</f>
        <v/>
      </c>
    </row>
  </sheetData>
  <autoFilter ref="A1:F37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LibreOffice/26.2.6.3$Windows_X86_64 LibreOffice_project/8221e31b3ac356a1623c672912a3d2b492f7e3d1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2026-10-29T20:21:00Z</dcterms:created>
  <dc:creator>openpyxl</dc:creator>
  <dc:description/>
  <dc:language>en-US</dc:language>
  <cp:lastModifiedBy/>
  <dcterms:modified xsi:type="dcterms:W3CDTF">2026-10-29T20:21:00Z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